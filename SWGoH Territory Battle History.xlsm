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idori\Documents\_Documents-Mike\Gaming\Games - SWGoH\Creations\Community Project\TB Stats for Hotbot\"/>
    </mc:Choice>
  </mc:AlternateContent>
  <bookViews>
    <workbookView xWindow="-120" yWindow="-120" windowWidth="29040" windowHeight="15996"/>
  </bookViews>
  <sheets>
    <sheet name="Instructions" sheetId="2" r:id="rId1"/>
    <sheet name="Settings" sheetId="3" r:id="rId2"/>
    <sheet name="Overview" sheetId="4" r:id="rId3"/>
    <sheet name="Phase 1" sheetId="5" r:id="rId4"/>
    <sheet name="Phase 2" sheetId="6" r:id="rId5"/>
    <sheet name="Phase 3" sheetId="7" r:id="rId6"/>
    <sheet name="Phase 4" sheetId="8" r:id="rId7"/>
    <sheet name="Phase 5" sheetId="9" r:id="rId8"/>
    <sheet name="Phase 6" sheetId="10" r:id="rId9"/>
    <sheet name="TB History" sheetId="11" r:id="rId10"/>
  </sheets>
  <functionGroups builtInGroupCount="18"/>
  <definedNames>
    <definedName name="apiLogin">Settings!$C$25</definedName>
    <definedName name="apiPassword">Settings!$C$26</definedName>
    <definedName name="AutoClose">Settings!$C$3</definedName>
    <definedName name="AutoExport">Settings!$C$15</definedName>
    <definedName name="Csv1Name">Settings!$C$17</definedName>
    <definedName name="Csv2Name">Settings!$C$18</definedName>
    <definedName name="Csv3Name">Settings!$C$19</definedName>
    <definedName name="Csv4Name">Settings!$C$20</definedName>
    <definedName name="Csv5Name">Settings!$C$21</definedName>
    <definedName name="Csv6Name">Settings!$C$22</definedName>
    <definedName name="DeleteImport">Settings!$C$4</definedName>
    <definedName name="ExportOne">Settings!#REF!</definedName>
    <definedName name="ExportOneSheet">Settings!$C$9</definedName>
    <definedName name="ExportPhases">Settings!$C$10</definedName>
    <definedName name="FormOnOpen">Settings!#REF!</definedName>
    <definedName name="ImportName">Settings!$C$6</definedName>
    <definedName name="LoadMultiCSV">Settings!$C$16</definedName>
    <definedName name="MoveImport">Settings!$C$5</definedName>
    <definedName name="MoveImportFolder">Settings!$C$7</definedName>
    <definedName name="T01FileName">Settings!#REF!</definedName>
    <definedName name="T01Folder">Settings!#REF!</definedName>
    <definedName name="T02FileName">Settings!#REF!</definedName>
    <definedName name="T02Folder">Settings!#REF!</definedName>
    <definedName name="T03FileName">Settings!#REF!</definedName>
    <definedName name="T03Folder">Settings!#REF!</definedName>
    <definedName name="T04FileName">Settings!#REF!</definedName>
    <definedName name="T04Folder">Settings!#REF!</definedName>
    <definedName name="T05FileName">Settings!#REF!</definedName>
    <definedName name="T05Folder">Settings!#REF!</definedName>
    <definedName name="T06FileName">Settings!#REF!</definedName>
    <definedName name="T06Folder">Settings!#REF!</definedName>
    <definedName name="TBFileNames">Settings!$C$12</definedName>
    <definedName name="TBFolders">Settings!$C$11</definedName>
    <definedName name="TBIDs">Settings!$C$8</definedName>
    <definedName name="TBLoaded">Settings!$C$23</definedName>
    <definedName name="To2Folder">Settings!#REF!</definedName>
    <definedName name="useAPI">Settings!$C$24</definedName>
    <definedName name="UseForm">Settings!$C$2</definedName>
  </definedNames>
  <calcPr calcId="152511"/>
</workbook>
</file>

<file path=xl/calcChain.xml><?xml version="1.0" encoding="utf-8"?>
<calcChain xmlns="http://schemas.openxmlformats.org/spreadsheetml/2006/main">
  <c r="A53" i="4" l="1"/>
  <c r="A54" i="4" s="1"/>
  <c r="D61" i="4" l="1"/>
  <c r="C61" i="4"/>
  <c r="B61" i="4"/>
  <c r="D60" i="4"/>
  <c r="C60" i="4"/>
  <c r="B60" i="4"/>
  <c r="D59" i="4"/>
  <c r="C59" i="4"/>
  <c r="B59" i="4"/>
  <c r="D58" i="4"/>
  <c r="C58" i="4"/>
  <c r="B58" i="4"/>
  <c r="D57" i="4"/>
  <c r="C57" i="4"/>
  <c r="B57" i="4"/>
  <c r="B56" i="4"/>
  <c r="D56" i="4"/>
  <c r="C56" i="4"/>
  <c r="B54" i="4" l="1"/>
  <c r="A60" i="4" l="1"/>
  <c r="A61" i="4"/>
</calcChain>
</file>

<file path=xl/comments1.xml><?xml version="1.0" encoding="utf-8"?>
<comments xmlns="http://schemas.openxmlformats.org/spreadsheetml/2006/main">
  <authors>
    <author>Kidori</author>
  </authors>
  <commentList>
    <comment ref="M1" authorId="0" shapeId="0">
      <text>
        <r>
          <rPr>
            <b/>
            <sz val="8"/>
            <color indexed="81"/>
            <rFont val="Tahoma"/>
            <family val="2"/>
          </rPr>
          <t>Kidori:</t>
        </r>
        <r>
          <rPr>
            <sz val="8"/>
            <color indexed="81"/>
            <rFont val="Tahoma"/>
            <family val="2"/>
          </rPr>
          <t xml:space="preserve">
Use Y and N for this field</t>
        </r>
      </text>
    </comment>
    <comment ref="N1" authorId="0" shapeId="0">
      <text>
        <r>
          <rPr>
            <b/>
            <sz val="8"/>
            <color indexed="81"/>
            <rFont val="Tahoma"/>
            <family val="2"/>
          </rPr>
          <t>Kidori:</t>
        </r>
        <r>
          <rPr>
            <sz val="8"/>
            <color indexed="81"/>
            <rFont val="Tahoma"/>
            <family val="2"/>
          </rPr>
          <t xml:space="preserve">
Use Y and N for this field
</t>
        </r>
      </text>
    </comment>
  </commentList>
</comments>
</file>

<file path=xl/sharedStrings.xml><?xml version="1.0" encoding="utf-8"?>
<sst xmlns="http://schemas.openxmlformats.org/spreadsheetml/2006/main" count="295" uniqueCount="174">
  <si>
    <t>SWGOH Territory Battle History</t>
  </si>
  <si>
    <t>for use with Hotbots tbstats export file</t>
  </si>
  <si>
    <t>About</t>
  </si>
  <si>
    <t>This Excel Workbook will automatically take the tbstats file and create a new workbook that is neatly formatted. It will also automatically:</t>
  </si>
  <si>
    <t>Add the creation date of the tbstats file to the new workbook name.</t>
  </si>
  <si>
    <t>Create a folder labeled after the Territory Battle it is for in the directory this workbook is in , if it does not already exist, and then move the new workbook to that folder.</t>
  </si>
  <si>
    <t>Delete or Move and rename the tbstats file  based on settings.</t>
  </si>
  <si>
    <t>Close this workbook when it is done.</t>
  </si>
  <si>
    <t>Instructions</t>
  </si>
  <si>
    <t>The csv file generated from Hotbot's tbstats command must be in the same folder this Workbook is in.</t>
  </si>
  <si>
    <t>The name of the file must be specified in the 'File name' setting on the Settings tab.</t>
  </si>
  <si>
    <t>You have to enable Macros in order to use this Workbook.</t>
  </si>
  <si>
    <t>If the setting 'Use form for opertations' is set to TRUE it will automatically open the form when this Workbook is opened.</t>
  </si>
  <si>
    <t xml:space="preserve">     If the setting 'Use form for operations' is FALSE then you will need to use Alt + F8 to run the macro.</t>
  </si>
  <si>
    <t>If the setting 'Delete Import File' is TRUE then the HotBot file will be deleted after use.</t>
  </si>
  <si>
    <t>If the setting 'Move Import File' is TRUE then the HotBot file will be moved to the folder specified in 'Move to folder name'.</t>
  </si>
  <si>
    <t xml:space="preserve">     The moved file will include the creation date of the file to track months TB was for.</t>
  </si>
  <si>
    <t>If the setting 'All on one sheet' is TRUE it will add the import information to the worksheet TB History and export it it to a new Workbook in the folder specified in the 'TB Folder Names' with the file name specified in 'TB Save Name' followed by the date created.</t>
  </si>
  <si>
    <t>If the setting 'Separate by phases' is TRUE it will add the import information to the worksheets Overview, Phase 1, Phase 2, Phase 3, and Phase 4 and export them to a new Workbook in the folderr specified in 'TB Folder Names' with the file name specified in 'TB Save Name' followed by  the date created.</t>
  </si>
  <si>
    <t>Using Advanced Options</t>
  </si>
  <si>
    <t>If you would like to get Platoons Donated and Combat Waves completed by Phase automatically then you will need to use the Advanced Settings in the Settings spreadhseet or form and run the tbstats at the end of each phase so you have a tbstats file for each phase. Make sure they are named tbstats_p# where # is the phase number. To use your own file names change the value of the 'CSV file name' in settings.</t>
  </si>
  <si>
    <t>Set 'Load CSV by phases' to TRUE in settings.</t>
  </si>
  <si>
    <t>If you already have all phases and just want to archive it make sure 'Auto export' setting is set to TRUE.</t>
  </si>
  <si>
    <t>If you are trying to use this Workbook for live tracking during the event set 'Auto export' setting to FALSE. When you are ready to archive it press Alt + F8 and choose to run the 'Manual_Export' macro.</t>
  </si>
  <si>
    <t>Credits</t>
  </si>
  <si>
    <t>Created by Kidori</t>
  </si>
  <si>
    <t>Discord: https://discord.gg/pUWPaVhE2E</t>
  </si>
  <si>
    <t>HotBot created by HotSauce</t>
  </si>
  <si>
    <t>Discord: https://discord.me/hotutils</t>
  </si>
  <si>
    <t>Website: https://help.hotutils.com/</t>
  </si>
  <si>
    <t>Group</t>
  </si>
  <si>
    <t>Option</t>
  </si>
  <si>
    <t>Setting</t>
  </si>
  <si>
    <t>Workbook</t>
  </si>
  <si>
    <t>Use form for operations</t>
  </si>
  <si>
    <t>Auto close when finished</t>
  </si>
  <si>
    <t>Importing</t>
  </si>
  <si>
    <t>Delete Import File</t>
  </si>
  <si>
    <t>Move Import File</t>
  </si>
  <si>
    <t>File name</t>
  </si>
  <si>
    <t>tbstats.csv</t>
  </si>
  <si>
    <t>Move to folder name</t>
  </si>
  <si>
    <t>Game Info</t>
  </si>
  <si>
    <t>Terrritory Battle IDs</t>
  </si>
  <si>
    <t>T01D,T02D,T03D,T04D</t>
  </si>
  <si>
    <t>Export</t>
  </si>
  <si>
    <t>All on one sheet</t>
  </si>
  <si>
    <t>Separate by phases</t>
  </si>
  <si>
    <t>TB Folder Names</t>
  </si>
  <si>
    <t>Hoth - Rebel Assault,Hoth - Imperial Retalliation,Geonosis - Separatist Might,Geonosis - Republic Offensive</t>
  </si>
  <si>
    <t>TB Save Name</t>
  </si>
  <si>
    <t>Hoth LS,Hoth DS,Geoonosis DS,Geonosis LS</t>
  </si>
  <si>
    <t>ADVANCED SETTINGS</t>
  </si>
  <si>
    <t>Auto Export</t>
  </si>
  <si>
    <t>Load CSV by phases</t>
  </si>
  <si>
    <t>CSV file name Phase 1</t>
  </si>
  <si>
    <t>tbstats_p1.csv</t>
  </si>
  <si>
    <t>CSV file name Phase 2</t>
  </si>
  <si>
    <t>tbstats_p2.csv</t>
  </si>
  <si>
    <t>CSV file name Phase 3</t>
  </si>
  <si>
    <t>tbstats_p3.csv</t>
  </si>
  <si>
    <t>CSV file name Phase 4</t>
  </si>
  <si>
    <t>tbstats_p4.csv</t>
  </si>
  <si>
    <t>CSV file name Phase 5</t>
  </si>
  <si>
    <t>tbstats_p5.csv</t>
  </si>
  <si>
    <t>CSV file name Phase 6</t>
  </si>
  <si>
    <t>tbstats_p6.csv</t>
  </si>
  <si>
    <t>Current TB loaded</t>
  </si>
  <si>
    <t>API</t>
  </si>
  <si>
    <t>Use api to get GP</t>
  </si>
  <si>
    <t>SWGOH.HELP Login</t>
  </si>
  <si>
    <t>SWGOH.HELP Password</t>
  </si>
  <si>
    <t>Guild Member</t>
  </si>
  <si>
    <t>Ally Code</t>
  </si>
  <si>
    <t>Total Territory Points</t>
  </si>
  <si>
    <t>Max Available GP to Deploy</t>
  </si>
  <si>
    <t>Actual GP Deployed</t>
  </si>
  <si>
    <t>Platoons</t>
  </si>
  <si>
    <t>Platoons Assigned</t>
  </si>
  <si>
    <t>Combat Waves Completed</t>
  </si>
  <si>
    <t>Combat Mssion Points</t>
  </si>
  <si>
    <t>Special Missions</t>
  </si>
  <si>
    <t>Special Mission Success</t>
  </si>
  <si>
    <t>Rogue Actions</t>
  </si>
  <si>
    <t>Exclusive Unit Mission Attempt</t>
  </si>
  <si>
    <t>Exclusive Unit Mission Success</t>
  </si>
  <si>
    <t>Character GP</t>
  </si>
  <si>
    <t>Ship GP</t>
  </si>
  <si>
    <t>Territory Points</t>
  </si>
  <si>
    <t>Available GP</t>
  </si>
  <si>
    <t>GP Deployed</t>
  </si>
  <si>
    <t>Combat Missions Attempted</t>
  </si>
  <si>
    <t>CM Points</t>
  </si>
  <si>
    <t>Special Missions Attempted</t>
  </si>
  <si>
    <t>SM Success</t>
  </si>
  <si>
    <t>Platoons Donated</t>
  </si>
  <si>
    <t>Rogue Action</t>
  </si>
  <si>
    <t>Member Information</t>
  </si>
  <si>
    <t>Territory Battle Totals</t>
  </si>
  <si>
    <t>Phase 1</t>
  </si>
  <si>
    <t>Phase 2</t>
  </si>
  <si>
    <t>Phase 3</t>
  </si>
  <si>
    <t>Phase 4</t>
  </si>
  <si>
    <t>Phase 5</t>
  </si>
  <si>
    <t>Phase 6</t>
  </si>
  <si>
    <t>Allycode</t>
  </si>
  <si>
    <t>Total Points P1</t>
  </si>
  <si>
    <t>GP Deployed P1</t>
  </si>
  <si>
    <t>CM Attempts P1</t>
  </si>
  <si>
    <t>CM Waves Completed P1</t>
  </si>
  <si>
    <t>CM Points P1</t>
  </si>
  <si>
    <t>SM Attempts P1</t>
  </si>
  <si>
    <t>SM Success P1</t>
  </si>
  <si>
    <t>Platoons Donated P1</t>
  </si>
  <si>
    <t>Rogue Action P1</t>
  </si>
  <si>
    <t>Total Points P2</t>
  </si>
  <si>
    <t>GP Deployed P2</t>
  </si>
  <si>
    <t>CM Attempts P2</t>
  </si>
  <si>
    <t>CM Waves Completed P2</t>
  </si>
  <si>
    <t>CM Points P2</t>
  </si>
  <si>
    <t>SM Attempts P2</t>
  </si>
  <si>
    <t>SM Success P2</t>
  </si>
  <si>
    <t>Platoons Donated P2</t>
  </si>
  <si>
    <t>Rogue Action P2</t>
  </si>
  <si>
    <t>Total Points P3</t>
  </si>
  <si>
    <t>GP Deployed P3</t>
  </si>
  <si>
    <t>CM Attempts P3</t>
  </si>
  <si>
    <t>CM Waves Completed P3</t>
  </si>
  <si>
    <t>CM Points P3</t>
  </si>
  <si>
    <t>SM Attempts P3</t>
  </si>
  <si>
    <t>SM Success P3</t>
  </si>
  <si>
    <t>Platoons Donated P3</t>
  </si>
  <si>
    <t>Rogue Action P3</t>
  </si>
  <si>
    <t>Total Points P4</t>
  </si>
  <si>
    <t>GP Deployed P4</t>
  </si>
  <si>
    <t>CM Attempts P4</t>
  </si>
  <si>
    <t>CM Waves Completed P4</t>
  </si>
  <si>
    <t>CM Points P4</t>
  </si>
  <si>
    <t>SM Attempts P4</t>
  </si>
  <si>
    <t>SM Success P4</t>
  </si>
  <si>
    <t>Platoons Donated P4</t>
  </si>
  <si>
    <t>Rogue Action P4</t>
  </si>
  <si>
    <t>Total Points P5</t>
  </si>
  <si>
    <t>GP Deployed P5</t>
  </si>
  <si>
    <t>CM Attempts P5</t>
  </si>
  <si>
    <t>CM Waves Completed P5</t>
  </si>
  <si>
    <t>CM Points P5</t>
  </si>
  <si>
    <t>SM Attempts P5</t>
  </si>
  <si>
    <t>SM Success P5</t>
  </si>
  <si>
    <t>Platoons Donated P5</t>
  </si>
  <si>
    <t>Rogue Action P5</t>
  </si>
  <si>
    <t>Total Points P6</t>
  </si>
  <si>
    <t>GP Deployed P6</t>
  </si>
  <si>
    <t>CM Attempts P6</t>
  </si>
  <si>
    <t>CM Waves Completed P6</t>
  </si>
  <si>
    <t>CM Points P6</t>
  </si>
  <si>
    <t>SM Attempts P6</t>
  </si>
  <si>
    <t>SM Success P6</t>
  </si>
  <si>
    <t>Platoons Donated P6</t>
  </si>
  <si>
    <t>Rogue Action P6</t>
  </si>
  <si>
    <t>Important Note: To get guild member gp, Combat Waves Completed, Rogue Actions, and Platoons Donated per phase you will need to use Advanced Settings otherwise these will be manual fields. To use this workbook for tracking during a TB disable the auto export in settings.</t>
  </si>
  <si>
    <t>After enabling macros, press Alt + F8 and click run with 'Import_TB_History' selected.</t>
  </si>
  <si>
    <t>COMING SOON</t>
  </si>
  <si>
    <t>Max Available GP</t>
  </si>
  <si>
    <t>Available GP P6</t>
  </si>
  <si>
    <t>Available GP P5</t>
  </si>
  <si>
    <t>Available GP P4</t>
  </si>
  <si>
    <t>Available GP P3</t>
  </si>
  <si>
    <t>Available GP P2</t>
  </si>
  <si>
    <t>Available GP P1</t>
  </si>
  <si>
    <t>Totals by Phase</t>
  </si>
  <si>
    <t>Combat Points</t>
  </si>
  <si>
    <t>Total Stars</t>
  </si>
  <si>
    <t>Imported Files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</si>
</sst>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1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20"/>
      <color theme="0"/>
      <name val="Calibri"/>
      <family val="2"/>
      <scheme val="minor"/>
    </font>
    <font>
      <b/>
      <sz val="14"/>
      <color theme="1" tint="4.9989318521683403E-2"/>
      <name val="Calibri"/>
      <family val="2"/>
      <scheme val="minor"/>
    </font>
    <font>
      <sz val="11"/>
      <color theme="1" tint="4.9989318521683403E-2"/>
      <name val="Calibri"/>
      <family val="2"/>
      <scheme val="minor"/>
    </font>
    <font>
      <sz val="10"/>
      <color theme="1"/>
      <name val="Calibri"/>
      <family val="2"/>
      <scheme val="minor"/>
    </font>
    <font>
      <b/>
      <sz val="14"/>
      <color theme="1"/>
      <name val="Calibri"/>
      <family val="2"/>
      <scheme val="minor"/>
    </font>
    <font>
      <b/>
      <sz val="11"/>
      <color theme="1" tint="4.9989318521683403E-2"/>
      <name val="Calibri"/>
      <family val="2"/>
      <scheme val="minor"/>
    </font>
    <font>
      <b/>
      <sz val="12"/>
      <color theme="1"/>
      <name val="Calibri"/>
      <family val="2"/>
      <scheme val="minor"/>
    </font>
    <font>
      <b/>
      <sz val="11"/>
      <color rgb="FFFFFFFF"/>
      <name val="Calibri"/>
      <family val="2"/>
      <scheme val="minor"/>
    </font>
    <font>
      <sz val="8"/>
      <color indexed="81"/>
      <name val="Tahoma"/>
      <family val="2"/>
    </font>
    <font>
      <b/>
      <sz val="8"/>
      <color indexed="81"/>
      <name val="Tahoma"/>
      <family val="2"/>
    </font>
    <font>
      <b/>
      <sz val="11"/>
      <color rgb="FFF8F8F8"/>
      <name val="Calibri"/>
      <family val="2"/>
      <scheme val="minor"/>
    </font>
    <font>
      <b/>
      <sz val="14"/>
      <color rgb="FFFFFFFF"/>
      <name val="Calibri"/>
      <family val="2"/>
      <scheme val="minor"/>
    </font>
    <font>
      <sz val="14"/>
      <color theme="1"/>
      <name val="Calibri"/>
      <family val="2"/>
      <scheme val="minor"/>
    </font>
    <font>
      <sz val="14"/>
      <color rgb="FF5F5F5F"/>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1"/>
        <bgColor indexed="64"/>
      </patternFill>
    </fill>
    <fill>
      <patternFill patternType="solid">
        <fgColor theme="1"/>
        <bgColor theme="1"/>
      </patternFill>
    </fill>
    <fill>
      <patternFill patternType="solid">
        <fgColor theme="0" tint="-0.249977111117893"/>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595959"/>
        <bgColor indexed="64"/>
      </patternFill>
    </fill>
    <fill>
      <patternFill patternType="solid">
        <fgColor rgb="FFA9D08E"/>
        <bgColor indexed="64"/>
      </patternFill>
    </fill>
    <fill>
      <patternFill patternType="solid">
        <fgColor rgb="FF548235"/>
        <bgColor indexed="64"/>
      </patternFill>
    </fill>
    <fill>
      <patternFill patternType="solid">
        <fgColor rgb="FFE2EFDA"/>
        <bgColor indexed="64"/>
      </patternFill>
    </fill>
    <fill>
      <patternFill patternType="solid">
        <fgColor rgb="FFBFBFBF"/>
        <bgColor indexed="64"/>
      </patternFill>
    </fill>
    <fill>
      <patternFill patternType="solid">
        <fgColor rgb="FFF2F2F2"/>
        <bgColor indexed="64"/>
      </patternFill>
    </fill>
    <fill>
      <patternFill patternType="solid">
        <fgColor rgb="FF808080"/>
        <bgColor indexed="64"/>
      </patternFill>
    </fill>
    <fill>
      <patternFill patternType="solid">
        <fgColor rgb="FF2F75B5"/>
        <bgColor indexed="64"/>
      </patternFill>
    </fill>
    <fill>
      <patternFill patternType="solid">
        <fgColor rgb="FF5B9BD5"/>
        <bgColor indexed="64"/>
      </patternFill>
    </fill>
    <fill>
      <patternFill patternType="solid">
        <fgColor rgb="FFDDEBF7"/>
        <bgColor indexed="64"/>
      </patternFill>
    </fill>
    <fill>
      <patternFill patternType="solid">
        <fgColor rgb="FF333F4F"/>
        <bgColor indexed="64"/>
      </patternFill>
    </fill>
    <fill>
      <patternFill patternType="solid">
        <fgColor rgb="FF8497B0"/>
        <bgColor indexed="64"/>
      </patternFill>
    </fill>
    <fill>
      <patternFill patternType="solid">
        <fgColor rgb="FFD6DCE4"/>
        <bgColor indexed="64"/>
      </patternFill>
    </fill>
    <fill>
      <patternFill patternType="solid">
        <fgColor rgb="FFEAEAEA"/>
        <bgColor indexed="64"/>
      </patternFill>
    </fill>
    <fill>
      <patternFill patternType="solid">
        <fgColor rgb="FF333333"/>
        <bgColor indexed="64"/>
      </patternFill>
    </fill>
    <fill>
      <patternFill patternType="solid">
        <fgColor rgb="FF5F5F5F"/>
        <bgColor indexed="64"/>
      </patternFill>
    </fill>
    <fill>
      <patternFill patternType="solid">
        <fgColor rgb="FFFFFFCC"/>
        <bgColor indexed="64"/>
      </patternFill>
    </fill>
    <fill>
      <patternFill patternType="solid">
        <fgColor rgb="FFFFFF66"/>
        <bgColor indexed="64"/>
      </patternFill>
    </fill>
  </fills>
  <borders count="62">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ck">
        <color indexed="64"/>
      </left>
      <right/>
      <top/>
      <bottom/>
      <diagonal/>
    </border>
    <border>
      <left/>
      <right style="thick">
        <color indexed="64"/>
      </right>
      <top/>
      <bottom/>
      <diagonal/>
    </border>
    <border>
      <left style="thick">
        <color indexed="64"/>
      </left>
      <right/>
      <top style="thin">
        <color indexed="64"/>
      </top>
      <bottom/>
      <diagonal/>
    </border>
    <border>
      <left/>
      <right/>
      <top style="thin">
        <color indexed="64"/>
      </top>
      <bottom/>
      <diagonal/>
    </border>
    <border>
      <left/>
      <right style="thick">
        <color indexed="64"/>
      </right>
      <top style="thin">
        <color indexed="64"/>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top/>
      <bottom style="medium">
        <color indexed="64"/>
      </bottom>
      <diagonal/>
    </border>
    <border>
      <left/>
      <right style="thick">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top/>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indexed="64"/>
      </right>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s>
  <cellStyleXfs count="2">
    <xf numFmtId="0" fontId="0" fillId="0" borderId="0"/>
    <xf numFmtId="43" fontId="1" fillId="0" borderId="0" applyFont="0" applyFill="0" applyBorder="0" applyAlignment="0" applyProtection="0"/>
  </cellStyleXfs>
  <cellXfs count="270">
    <xf numFmtId="0" fontId="0" fillId="0" borderId="0" xfId="0"/>
    <xf numFmtId="0" fontId="0" fillId="0" borderId="0" xfId="0" applyAlignment="1">
      <alignment vertical="center"/>
    </xf>
    <xf numFmtId="0" fontId="0" fillId="0" borderId="36" xfId="0" applyBorder="1" applyAlignment="1">
      <alignment horizontal="center"/>
    </xf>
    <xf numFmtId="0" fontId="0" fillId="0" borderId="37" xfId="0" applyBorder="1" applyAlignment="1">
      <alignment horizontal="left"/>
    </xf>
    <xf numFmtId="0" fontId="0" fillId="0" borderId="38" xfId="0" applyFill="1" applyBorder="1" applyAlignment="1">
      <alignment horizontal="left"/>
    </xf>
    <xf numFmtId="0" fontId="3" fillId="0" borderId="38" xfId="0" applyFont="1" applyFill="1" applyBorder="1" applyAlignment="1">
      <alignment horizontal="left"/>
    </xf>
    <xf numFmtId="0" fontId="0" fillId="0" borderId="39" xfId="0" applyFill="1" applyBorder="1" applyAlignment="1">
      <alignment horizontal="left"/>
    </xf>
    <xf numFmtId="0" fontId="0" fillId="0" borderId="38" xfId="0" applyFill="1" applyBorder="1"/>
    <xf numFmtId="0" fontId="3" fillId="0" borderId="38" xfId="0" applyFont="1" applyFill="1" applyBorder="1"/>
    <xf numFmtId="0" fontId="3" fillId="0" borderId="40" xfId="0" applyFont="1" applyFill="1" applyBorder="1"/>
    <xf numFmtId="0" fontId="0" fillId="0" borderId="41" xfId="0" applyFill="1" applyBorder="1" applyAlignment="1">
      <alignment horizontal="left"/>
    </xf>
    <xf numFmtId="0" fontId="0" fillId="0" borderId="38" xfId="0" applyFont="1" applyFill="1" applyBorder="1"/>
    <xf numFmtId="0" fontId="0" fillId="0" borderId="39" xfId="0" applyFont="1" applyFill="1" applyBorder="1" applyAlignment="1">
      <alignment horizontal="left"/>
    </xf>
    <xf numFmtId="0" fontId="0" fillId="0" borderId="39" xfId="0" applyFont="1" applyFill="1" applyBorder="1" applyAlignment="1">
      <alignment horizontal="left" wrapText="1"/>
    </xf>
    <xf numFmtId="0" fontId="0" fillId="0" borderId="40" xfId="0" applyFont="1" applyFill="1" applyBorder="1"/>
    <xf numFmtId="0" fontId="0" fillId="0" borderId="41" xfId="0" applyFont="1" applyFill="1" applyBorder="1" applyAlignment="1">
      <alignment horizontal="left"/>
    </xf>
    <xf numFmtId="0" fontId="2" fillId="5" borderId="8" xfId="0" applyFont="1" applyFill="1" applyBorder="1" applyAlignment="1"/>
    <xf numFmtId="0" fontId="2" fillId="6" borderId="36" xfId="0" applyFont="1" applyFill="1" applyBorder="1" applyAlignment="1">
      <alignment horizontal="center"/>
    </xf>
    <xf numFmtId="0" fontId="2" fillId="6" borderId="36" xfId="0" applyFont="1" applyFill="1" applyBorder="1" applyAlignment="1">
      <alignment horizontal="left"/>
    </xf>
    <xf numFmtId="0" fontId="3" fillId="0" borderId="0" xfId="0" applyFont="1"/>
    <xf numFmtId="0" fontId="0" fillId="0" borderId="0" xfId="0" applyAlignment="1">
      <alignment horizontal="left"/>
    </xf>
    <xf numFmtId="0" fontId="0" fillId="0" borderId="43" xfId="0" applyFont="1" applyFill="1" applyBorder="1"/>
    <xf numFmtId="0" fontId="0" fillId="0" borderId="38" xfId="0" applyFont="1" applyFill="1" applyBorder="1" applyAlignment="1">
      <alignment horizontal="center"/>
    </xf>
    <xf numFmtId="164" fontId="0" fillId="0" borderId="38" xfId="1" applyNumberFormat="1" applyFont="1" applyFill="1" applyBorder="1" applyAlignment="1">
      <alignment horizontal="center"/>
    </xf>
    <xf numFmtId="0" fontId="0" fillId="0" borderId="38" xfId="0" applyFont="1" applyFill="1" applyBorder="1" applyAlignment="1">
      <alignment horizontal="right"/>
    </xf>
    <xf numFmtId="3" fontId="0" fillId="0" borderId="38" xfId="0" applyNumberFormat="1" applyFont="1" applyFill="1" applyBorder="1" applyAlignment="1">
      <alignment horizontal="right"/>
    </xf>
    <xf numFmtId="3" fontId="0" fillId="0" borderId="39" xfId="0" applyNumberFormat="1" applyFont="1" applyFill="1" applyBorder="1" applyAlignment="1">
      <alignment horizontal="right" vertical="center"/>
    </xf>
    <xf numFmtId="0" fontId="0" fillId="0" borderId="44" xfId="0" applyFont="1" applyFill="1" applyBorder="1"/>
    <xf numFmtId="0" fontId="0" fillId="0" borderId="40" xfId="0" applyFont="1" applyFill="1" applyBorder="1" applyAlignment="1">
      <alignment horizontal="center"/>
    </xf>
    <xf numFmtId="3" fontId="0" fillId="0" borderId="40" xfId="0" applyNumberFormat="1" applyFont="1" applyFill="1" applyBorder="1" applyAlignment="1">
      <alignment horizontal="right"/>
    </xf>
    <xf numFmtId="0" fontId="0" fillId="0" borderId="0" xfId="0" applyAlignment="1">
      <alignment horizontal="center"/>
    </xf>
    <xf numFmtId="0" fontId="7" fillId="0" borderId="0" xfId="0" applyFont="1" applyAlignment="1">
      <alignment horizontal="left"/>
    </xf>
    <xf numFmtId="3" fontId="0" fillId="0" borderId="39" xfId="0" applyNumberFormat="1" applyFont="1" applyFill="1" applyBorder="1" applyAlignment="1">
      <alignment horizontal="right"/>
    </xf>
    <xf numFmtId="0" fontId="0" fillId="0" borderId="39" xfId="0" applyFont="1" applyFill="1" applyBorder="1" applyAlignment="1">
      <alignment horizontal="right"/>
    </xf>
    <xf numFmtId="3" fontId="1" fillId="0" borderId="38" xfId="0" applyNumberFormat="1" applyFont="1" applyFill="1" applyBorder="1" applyAlignment="1">
      <alignment horizontal="center"/>
    </xf>
    <xf numFmtId="3" fontId="0" fillId="0" borderId="41" xfId="0" applyNumberFormat="1" applyFont="1" applyFill="1" applyBorder="1" applyAlignment="1">
      <alignment horizontal="right"/>
    </xf>
    <xf numFmtId="0" fontId="0" fillId="0" borderId="41" xfId="0" applyFont="1" applyFill="1" applyBorder="1" applyAlignment="1">
      <alignment horizontal="right"/>
    </xf>
    <xf numFmtId="3" fontId="1" fillId="0" borderId="40" xfId="0" applyNumberFormat="1" applyFont="1" applyFill="1" applyBorder="1" applyAlignment="1">
      <alignment horizontal="center"/>
    </xf>
    <xf numFmtId="0" fontId="3" fillId="0" borderId="0" xfId="0" applyFont="1" applyAlignment="1">
      <alignment horizontal="left"/>
    </xf>
    <xf numFmtId="164" fontId="0" fillId="0" borderId="43" xfId="1" applyNumberFormat="1" applyFont="1" applyBorder="1"/>
    <xf numFmtId="164" fontId="0" fillId="0" borderId="38" xfId="1" applyNumberFormat="1" applyFont="1" applyBorder="1"/>
    <xf numFmtId="0" fontId="0" fillId="0" borderId="38" xfId="0" applyBorder="1"/>
    <xf numFmtId="0" fontId="0" fillId="0" borderId="39" xfId="0" applyBorder="1"/>
    <xf numFmtId="0" fontId="0" fillId="0" borderId="47" xfId="0" applyBorder="1"/>
    <xf numFmtId="0" fontId="0" fillId="0" borderId="48" xfId="0" applyBorder="1"/>
    <xf numFmtId="0" fontId="0" fillId="0" borderId="43" xfId="0" applyBorder="1"/>
    <xf numFmtId="164" fontId="0" fillId="0" borderId="47" xfId="1" applyNumberFormat="1" applyFont="1" applyBorder="1"/>
    <xf numFmtId="0" fontId="0" fillId="0" borderId="48" xfId="0" applyFill="1" applyBorder="1"/>
    <xf numFmtId="0" fontId="0" fillId="0" borderId="51" xfId="0" applyBorder="1"/>
    <xf numFmtId="0" fontId="7" fillId="7" borderId="7" xfId="0" applyFont="1" applyFill="1" applyBorder="1" applyAlignment="1">
      <alignment horizontal="left"/>
    </xf>
    <xf numFmtId="0" fontId="7" fillId="10" borderId="7" xfId="0" applyFont="1" applyFill="1" applyBorder="1"/>
    <xf numFmtId="0" fontId="7" fillId="7" borderId="7" xfId="0" applyFont="1" applyFill="1" applyBorder="1"/>
    <xf numFmtId="0" fontId="0" fillId="10" borderId="7" xfId="0" applyFill="1" applyBorder="1"/>
    <xf numFmtId="0" fontId="0" fillId="2" borderId="38" xfId="0" applyFill="1" applyBorder="1"/>
    <xf numFmtId="0" fontId="0" fillId="12" borderId="0" xfId="0" applyFill="1"/>
    <xf numFmtId="0" fontId="5" fillId="12" borderId="0" xfId="0" applyFont="1" applyFill="1"/>
    <xf numFmtId="0" fontId="4" fillId="12" borderId="0" xfId="0" applyFont="1" applyFill="1"/>
    <xf numFmtId="0" fontId="2" fillId="12" borderId="0" xfId="0" applyFont="1" applyFill="1" applyAlignment="1">
      <alignment horizontal="center"/>
    </xf>
    <xf numFmtId="0" fontId="0" fillId="12" borderId="0" xfId="0" applyFill="1" applyAlignment="1">
      <alignment vertical="center"/>
    </xf>
    <xf numFmtId="0" fontId="9" fillId="12" borderId="0" xfId="0" applyFont="1" applyFill="1"/>
    <xf numFmtId="0" fontId="3" fillId="12" borderId="0" xfId="0" applyFont="1" applyFill="1"/>
    <xf numFmtId="3" fontId="0" fillId="0" borderId="38" xfId="0" applyNumberFormat="1" applyFont="1" applyFill="1" applyBorder="1" applyAlignment="1">
      <alignment horizontal="center"/>
    </xf>
    <xf numFmtId="0" fontId="10" fillId="16" borderId="42" xfId="0" applyFont="1" applyFill="1" applyBorder="1" applyAlignment="1">
      <alignment horizontal="left"/>
    </xf>
    <xf numFmtId="0" fontId="10" fillId="16" borderId="17" xfId="0" applyFont="1" applyFill="1" applyBorder="1" applyAlignment="1">
      <alignment horizontal="left"/>
    </xf>
    <xf numFmtId="0" fontId="10" fillId="16" borderId="37" xfId="0" applyFont="1" applyFill="1" applyBorder="1" applyAlignment="1">
      <alignment horizontal="left"/>
    </xf>
    <xf numFmtId="0" fontId="0" fillId="17" borderId="43" xfId="0" applyFill="1" applyBorder="1"/>
    <xf numFmtId="0" fontId="0" fillId="17" borderId="38" xfId="0" applyFill="1" applyBorder="1"/>
    <xf numFmtId="0" fontId="0" fillId="17" borderId="39" xfId="0" applyFill="1" applyBorder="1"/>
    <xf numFmtId="0" fontId="0" fillId="17" borderId="44" xfId="0" applyFill="1" applyBorder="1"/>
    <xf numFmtId="0" fontId="0" fillId="17" borderId="40" xfId="0" applyFill="1" applyBorder="1"/>
    <xf numFmtId="0" fontId="0" fillId="17" borderId="41" xfId="0" applyFill="1" applyBorder="1"/>
    <xf numFmtId="0" fontId="10" fillId="13" borderId="45" xfId="0" applyFont="1" applyFill="1" applyBorder="1" applyAlignment="1">
      <alignment horizontal="left" wrapText="1"/>
    </xf>
    <xf numFmtId="0" fontId="10" fillId="13" borderId="42" xfId="0" applyFont="1" applyFill="1" applyBorder="1" applyAlignment="1">
      <alignment horizontal="left" wrapText="1"/>
    </xf>
    <xf numFmtId="0" fontId="10" fillId="13" borderId="36" xfId="0" applyFont="1" applyFill="1" applyBorder="1" applyAlignment="1">
      <alignment horizontal="left" wrapText="1"/>
    </xf>
    <xf numFmtId="0" fontId="10" fillId="13" borderId="46" xfId="0" applyFont="1" applyFill="1" applyBorder="1" applyAlignment="1">
      <alignment horizontal="left" wrapText="1"/>
    </xf>
    <xf numFmtId="164" fontId="0" fillId="15" borderId="47" xfId="1" applyNumberFormat="1" applyFont="1" applyFill="1" applyBorder="1"/>
    <xf numFmtId="164" fontId="0" fillId="15" borderId="43" xfId="1" applyNumberFormat="1" applyFont="1" applyFill="1" applyBorder="1"/>
    <xf numFmtId="0" fontId="0" fillId="15" borderId="38" xfId="0" applyFill="1" applyBorder="1"/>
    <xf numFmtId="164" fontId="0" fillId="15" borderId="38" xfId="1" applyNumberFormat="1" applyFont="1" applyFill="1" applyBorder="1"/>
    <xf numFmtId="0" fontId="0" fillId="15" borderId="39" xfId="0" applyFill="1" applyBorder="1"/>
    <xf numFmtId="0" fontId="0" fillId="15" borderId="48" xfId="0" applyFill="1" applyBorder="1"/>
    <xf numFmtId="164" fontId="0" fillId="15" borderId="49" xfId="1" applyNumberFormat="1" applyFont="1" applyFill="1" applyBorder="1"/>
    <xf numFmtId="164" fontId="0" fillId="15" borderId="44" xfId="1" applyNumberFormat="1" applyFont="1" applyFill="1" applyBorder="1"/>
    <xf numFmtId="0" fontId="0" fillId="15" borderId="40" xfId="0" applyFill="1" applyBorder="1"/>
    <xf numFmtId="164" fontId="0" fillId="15" borderId="40" xfId="1" applyNumberFormat="1" applyFont="1" applyFill="1" applyBorder="1"/>
    <xf numFmtId="0" fontId="0" fillId="15" borderId="41" xfId="0" applyFill="1" applyBorder="1"/>
    <xf numFmtId="0" fontId="0" fillId="15" borderId="50" xfId="0" applyFill="1" applyBorder="1"/>
    <xf numFmtId="0" fontId="10" fillId="20" borderId="42" xfId="0" applyFont="1" applyFill="1" applyBorder="1" applyAlignment="1">
      <alignment horizontal="left" wrapText="1"/>
    </xf>
    <xf numFmtId="0" fontId="10" fillId="20" borderId="36" xfId="0" applyFont="1" applyFill="1" applyBorder="1" applyAlignment="1">
      <alignment horizontal="left" wrapText="1"/>
    </xf>
    <xf numFmtId="0" fontId="10" fillId="20" borderId="37" xfId="0" applyFont="1" applyFill="1" applyBorder="1" applyAlignment="1">
      <alignment horizontal="left" wrapText="1"/>
    </xf>
    <xf numFmtId="0" fontId="10" fillId="20" borderId="17" xfId="0" applyFont="1" applyFill="1" applyBorder="1" applyAlignment="1">
      <alignment horizontal="left" wrapText="1"/>
    </xf>
    <xf numFmtId="0" fontId="10" fillId="20" borderId="45" xfId="0" applyFont="1" applyFill="1" applyBorder="1" applyAlignment="1">
      <alignment horizontal="left" wrapText="1"/>
    </xf>
    <xf numFmtId="0" fontId="10" fillId="20" borderId="46" xfId="0" applyFont="1" applyFill="1" applyBorder="1" applyAlignment="1">
      <alignment horizontal="left" wrapText="1"/>
    </xf>
    <xf numFmtId="164" fontId="0" fillId="21" borderId="43" xfId="1" applyNumberFormat="1" applyFont="1" applyFill="1" applyBorder="1"/>
    <xf numFmtId="164" fontId="0" fillId="21" borderId="38" xfId="1" applyNumberFormat="1" applyFont="1" applyFill="1" applyBorder="1"/>
    <xf numFmtId="0" fontId="0" fillId="21" borderId="38" xfId="0" applyFill="1" applyBorder="1"/>
    <xf numFmtId="0" fontId="0" fillId="21" borderId="39" xfId="0" applyFill="1" applyBorder="1"/>
    <xf numFmtId="164" fontId="0" fillId="21" borderId="47" xfId="1" applyNumberFormat="1" applyFont="1" applyFill="1" applyBorder="1"/>
    <xf numFmtId="0" fontId="0" fillId="21" borderId="48" xfId="0" applyFill="1" applyBorder="1"/>
    <xf numFmtId="0" fontId="0" fillId="21" borderId="47" xfId="0" applyFill="1" applyBorder="1"/>
    <xf numFmtId="0" fontId="0" fillId="21" borderId="43" xfId="0" applyFill="1" applyBorder="1"/>
    <xf numFmtId="164" fontId="0" fillId="21" borderId="44" xfId="1" applyNumberFormat="1" applyFont="1" applyFill="1" applyBorder="1"/>
    <xf numFmtId="164" fontId="0" fillId="21" borderId="40" xfId="1" applyNumberFormat="1" applyFont="1" applyFill="1" applyBorder="1"/>
    <xf numFmtId="0" fontId="0" fillId="21" borderId="40" xfId="0" applyFill="1" applyBorder="1"/>
    <xf numFmtId="0" fontId="0" fillId="21" borderId="41" xfId="0" applyFill="1" applyBorder="1"/>
    <xf numFmtId="164" fontId="0" fillId="21" borderId="49" xfId="1" applyNumberFormat="1" applyFont="1" applyFill="1" applyBorder="1"/>
    <xf numFmtId="0" fontId="0" fillId="21" borderId="50" xfId="0" applyFill="1" applyBorder="1"/>
    <xf numFmtId="0" fontId="10" fillId="23" borderId="45" xfId="0" applyFont="1" applyFill="1" applyBorder="1" applyAlignment="1">
      <alignment horizontal="left" wrapText="1"/>
    </xf>
    <xf numFmtId="0" fontId="10" fillId="23" borderId="42" xfId="0" applyFont="1" applyFill="1" applyBorder="1" applyAlignment="1">
      <alignment horizontal="left" wrapText="1"/>
    </xf>
    <xf numFmtId="0" fontId="10" fillId="23" borderId="36" xfId="0" applyFont="1" applyFill="1" applyBorder="1" applyAlignment="1">
      <alignment horizontal="left" wrapText="1"/>
    </xf>
    <xf numFmtId="0" fontId="10" fillId="23" borderId="37" xfId="0" applyFont="1" applyFill="1" applyBorder="1" applyAlignment="1">
      <alignment horizontal="left" wrapText="1"/>
    </xf>
    <xf numFmtId="164" fontId="0" fillId="24" borderId="47" xfId="1" applyNumberFormat="1" applyFont="1" applyFill="1" applyBorder="1"/>
    <xf numFmtId="164" fontId="0" fillId="24" borderId="43" xfId="1" applyNumberFormat="1" applyFont="1" applyFill="1" applyBorder="1"/>
    <xf numFmtId="164" fontId="0" fillId="24" borderId="38" xfId="1" applyNumberFormat="1" applyFont="1" applyFill="1" applyBorder="1"/>
    <xf numFmtId="0" fontId="0" fillId="24" borderId="38" xfId="0" applyFill="1" applyBorder="1"/>
    <xf numFmtId="0" fontId="0" fillId="24" borderId="39" xfId="0" applyFill="1" applyBorder="1"/>
    <xf numFmtId="164" fontId="0" fillId="24" borderId="49" xfId="1" applyNumberFormat="1" applyFont="1" applyFill="1" applyBorder="1"/>
    <xf numFmtId="164" fontId="0" fillId="24" borderId="44" xfId="1" applyNumberFormat="1" applyFont="1" applyFill="1" applyBorder="1"/>
    <xf numFmtId="164" fontId="0" fillId="24" borderId="40" xfId="1" applyNumberFormat="1" applyFont="1" applyFill="1" applyBorder="1"/>
    <xf numFmtId="0" fontId="0" fillId="24" borderId="40" xfId="0" applyFill="1" applyBorder="1"/>
    <xf numFmtId="0" fontId="0" fillId="24" borderId="41" xfId="0" applyFill="1" applyBorder="1"/>
    <xf numFmtId="0" fontId="0" fillId="24" borderId="47" xfId="0" applyFill="1" applyBorder="1"/>
    <xf numFmtId="0" fontId="0" fillId="24" borderId="43" xfId="0" applyFill="1" applyBorder="1"/>
    <xf numFmtId="0" fontId="0" fillId="24" borderId="48" xfId="0" applyFill="1" applyBorder="1"/>
    <xf numFmtId="0" fontId="12" fillId="26" borderId="38" xfId="0" applyFont="1" applyFill="1" applyBorder="1"/>
    <xf numFmtId="0" fontId="12" fillId="26" borderId="38" xfId="0" applyFont="1" applyFill="1" applyBorder="1" applyAlignment="1">
      <alignment horizontal="center"/>
    </xf>
    <xf numFmtId="0" fontId="0" fillId="0" borderId="44" xfId="0" quotePrefix="1" applyFont="1" applyFill="1" applyBorder="1"/>
    <xf numFmtId="0" fontId="0" fillId="0" borderId="40" xfId="0" quotePrefix="1" applyFont="1" applyFill="1" applyBorder="1" applyAlignment="1">
      <alignment horizontal="center"/>
    </xf>
    <xf numFmtId="3" fontId="0" fillId="0" borderId="40" xfId="0" quotePrefix="1" applyNumberFormat="1" applyFont="1" applyFill="1" applyBorder="1" applyAlignment="1">
      <alignment horizontal="right"/>
    </xf>
    <xf numFmtId="3" fontId="0" fillId="0" borderId="41" xfId="0" quotePrefix="1" applyNumberFormat="1" applyFont="1" applyFill="1" applyBorder="1" applyAlignment="1">
      <alignment horizontal="right"/>
    </xf>
    <xf numFmtId="0" fontId="0" fillId="0" borderId="41" xfId="0" quotePrefix="1" applyFont="1" applyFill="1" applyBorder="1" applyAlignment="1">
      <alignment horizontal="right"/>
    </xf>
    <xf numFmtId="3" fontId="1" fillId="0" borderId="40" xfId="0" quotePrefix="1" applyNumberFormat="1" applyFont="1" applyFill="1" applyBorder="1" applyAlignment="1">
      <alignment horizontal="center"/>
    </xf>
    <xf numFmtId="164" fontId="0" fillId="25" borderId="38" xfId="1" applyNumberFormat="1" applyFont="1" applyFill="1" applyBorder="1" applyAlignment="1">
      <alignment horizontal="right"/>
    </xf>
    <xf numFmtId="164" fontId="0" fillId="0" borderId="38" xfId="1" applyNumberFormat="1" applyFont="1" applyFill="1" applyBorder="1" applyAlignment="1">
      <alignment horizontal="right"/>
    </xf>
    <xf numFmtId="0" fontId="0" fillId="0" borderId="43" xfId="0" quotePrefix="1" applyFont="1" applyFill="1" applyBorder="1"/>
    <xf numFmtId="0" fontId="0" fillId="0" borderId="38" xfId="0" quotePrefix="1" applyFont="1" applyFill="1" applyBorder="1" applyAlignment="1">
      <alignment horizontal="center"/>
    </xf>
    <xf numFmtId="3" fontId="0" fillId="0" borderId="38" xfId="0" quotePrefix="1" applyNumberFormat="1" applyFont="1" applyFill="1" applyBorder="1" applyAlignment="1">
      <alignment horizontal="right"/>
    </xf>
    <xf numFmtId="3" fontId="0" fillId="0" borderId="39" xfId="0" quotePrefix="1" applyNumberFormat="1" applyFont="1" applyFill="1" applyBorder="1" applyAlignment="1">
      <alignment horizontal="right"/>
    </xf>
    <xf numFmtId="0" fontId="0" fillId="0" borderId="39" xfId="0" quotePrefix="1" applyFont="1" applyFill="1" applyBorder="1" applyAlignment="1">
      <alignment horizontal="right"/>
    </xf>
    <xf numFmtId="3" fontId="1" fillId="0" borderId="38" xfId="0" quotePrefix="1" applyNumberFormat="1" applyFont="1" applyFill="1" applyBorder="1" applyAlignment="1">
      <alignment horizontal="center"/>
    </xf>
    <xf numFmtId="0" fontId="3" fillId="0" borderId="42" xfId="0" applyFont="1" applyFill="1" applyBorder="1" applyAlignment="1">
      <alignment horizontal="left" vertical="center" wrapText="1"/>
    </xf>
    <xf numFmtId="0" fontId="3" fillId="0" borderId="36" xfId="0" applyFont="1" applyFill="1" applyBorder="1" applyAlignment="1">
      <alignment horizontal="left" vertical="center" wrapText="1"/>
    </xf>
    <xf numFmtId="0" fontId="3" fillId="0" borderId="37" xfId="0" applyFont="1" applyFill="1" applyBorder="1" applyAlignment="1">
      <alignment horizontal="left" vertical="center" wrapText="1"/>
    </xf>
    <xf numFmtId="0" fontId="0" fillId="0" borderId="37" xfId="0" applyFont="1" applyFill="1" applyBorder="1" applyAlignment="1">
      <alignment horizontal="right"/>
    </xf>
    <xf numFmtId="3" fontId="1" fillId="0" borderId="36" xfId="0" applyNumberFormat="1" applyFont="1" applyFill="1" applyBorder="1" applyAlignment="1">
      <alignment horizontal="center"/>
    </xf>
    <xf numFmtId="0" fontId="15" fillId="27" borderId="42" xfId="0" applyFont="1" applyFill="1" applyBorder="1" applyAlignment="1">
      <alignment horizontal="left" vertical="center" wrapText="1"/>
    </xf>
    <xf numFmtId="0" fontId="15" fillId="27" borderId="36" xfId="0" applyFont="1" applyFill="1" applyBorder="1" applyAlignment="1">
      <alignment horizontal="left" vertical="center" wrapText="1"/>
    </xf>
    <xf numFmtId="0" fontId="15" fillId="27" borderId="37" xfId="0" applyFont="1" applyFill="1" applyBorder="1" applyAlignment="1">
      <alignment horizontal="left" vertical="center" wrapText="1"/>
    </xf>
    <xf numFmtId="0" fontId="0" fillId="8" borderId="19" xfId="0" applyFill="1" applyBorder="1"/>
    <xf numFmtId="0" fontId="0" fillId="8" borderId="0" xfId="0" applyFill="1" applyBorder="1"/>
    <xf numFmtId="0" fontId="0" fillId="8" borderId="20" xfId="0" applyFill="1" applyBorder="1"/>
    <xf numFmtId="0" fontId="0" fillId="8" borderId="24" xfId="0" applyFill="1" applyBorder="1"/>
    <xf numFmtId="0" fontId="0" fillId="8" borderId="25" xfId="0" applyFill="1" applyBorder="1"/>
    <xf numFmtId="0" fontId="0" fillId="8" borderId="26" xfId="0" applyFill="1" applyBorder="1"/>
    <xf numFmtId="0" fontId="0" fillId="2" borderId="10" xfId="0" applyFont="1" applyFill="1" applyBorder="1" applyAlignment="1">
      <alignment wrapText="1"/>
    </xf>
    <xf numFmtId="0" fontId="0" fillId="2" borderId="11" xfId="0" applyFont="1" applyFill="1" applyBorder="1" applyAlignment="1">
      <alignment wrapText="1"/>
    </xf>
    <xf numFmtId="0" fontId="0" fillId="2" borderId="12" xfId="0" applyFont="1" applyFill="1" applyBorder="1" applyAlignment="1">
      <alignment wrapText="1"/>
    </xf>
    <xf numFmtId="0" fontId="0" fillId="12" borderId="0" xfId="0" applyFill="1"/>
    <xf numFmtId="0" fontId="9" fillId="9" borderId="13" xfId="0" applyFont="1" applyFill="1" applyBorder="1"/>
    <xf numFmtId="0" fontId="9" fillId="9" borderId="14" xfId="0" applyFont="1" applyFill="1" applyBorder="1"/>
    <xf numFmtId="0" fontId="9" fillId="9" borderId="15" xfId="0" applyFont="1" applyFill="1" applyBorder="1"/>
    <xf numFmtId="0" fontId="0" fillId="8" borderId="30" xfId="0" applyFill="1" applyBorder="1"/>
    <xf numFmtId="0" fontId="0" fillId="8" borderId="31" xfId="0" applyFill="1" applyBorder="1"/>
    <xf numFmtId="0" fontId="0" fillId="8" borderId="32" xfId="0" applyFill="1" applyBorder="1"/>
    <xf numFmtId="0" fontId="0" fillId="8" borderId="33" xfId="0" applyFill="1" applyBorder="1"/>
    <xf numFmtId="0" fontId="0" fillId="8" borderId="34" xfId="0" applyFill="1" applyBorder="1"/>
    <xf numFmtId="0" fontId="0" fillId="8" borderId="35" xfId="0" applyFill="1" applyBorder="1"/>
    <xf numFmtId="0" fontId="3" fillId="9" borderId="19" xfId="0" applyFont="1" applyFill="1" applyBorder="1"/>
    <xf numFmtId="0" fontId="3" fillId="9" borderId="0" xfId="0" applyFont="1" applyFill="1" applyBorder="1"/>
    <xf numFmtId="0" fontId="3" fillId="9" borderId="20" xfId="0" applyFont="1" applyFill="1" applyBorder="1"/>
    <xf numFmtId="0" fontId="0" fillId="4" borderId="7" xfId="0" applyFont="1" applyFill="1" applyBorder="1" applyAlignment="1">
      <alignment wrapText="1"/>
    </xf>
    <xf numFmtId="0" fontId="0" fillId="4" borderId="8" xfId="0" applyFont="1" applyFill="1" applyBorder="1" applyAlignment="1">
      <alignment wrapText="1"/>
    </xf>
    <xf numFmtId="0" fontId="0" fillId="4" borderId="9" xfId="0" applyFont="1" applyFill="1" applyBorder="1" applyAlignment="1">
      <alignment wrapText="1"/>
    </xf>
    <xf numFmtId="0" fontId="0" fillId="0" borderId="7" xfId="0" applyBorder="1" applyAlignment="1">
      <alignment vertical="center" wrapText="1"/>
    </xf>
    <xf numFmtId="0" fontId="0" fillId="0" borderId="8" xfId="0" applyBorder="1" applyAlignment="1">
      <alignment vertical="center" wrapText="1"/>
    </xf>
    <xf numFmtId="0" fontId="0" fillId="0" borderId="9" xfId="0" applyBorder="1" applyAlignment="1">
      <alignment vertical="center" wrapText="1"/>
    </xf>
    <xf numFmtId="0" fontId="0" fillId="4" borderId="7" xfId="0" applyFill="1" applyBorder="1" applyAlignment="1">
      <alignment vertical="center" wrapText="1"/>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19" xfId="0" applyFill="1" applyBorder="1" applyAlignment="1">
      <alignment vertical="center" wrapText="1"/>
    </xf>
    <xf numFmtId="0" fontId="0" fillId="4" borderId="0" xfId="0" applyFill="1" applyBorder="1" applyAlignment="1">
      <alignment vertical="center" wrapText="1"/>
    </xf>
    <xf numFmtId="0" fontId="0" fillId="4" borderId="20" xfId="0" applyFill="1"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4" borderId="21" xfId="0" applyFill="1" applyBorder="1" applyAlignment="1">
      <alignment vertical="center" wrapText="1"/>
    </xf>
    <xf numFmtId="0" fontId="0" fillId="4" borderId="22" xfId="0" applyFill="1" applyBorder="1" applyAlignment="1">
      <alignment vertical="center" wrapText="1"/>
    </xf>
    <xf numFmtId="0" fontId="0" fillId="4" borderId="23" xfId="0" applyFill="1" applyBorder="1" applyAlignment="1">
      <alignment vertical="center" wrapText="1"/>
    </xf>
    <xf numFmtId="0" fontId="0" fillId="4" borderId="24" xfId="0" applyFill="1" applyBorder="1" applyAlignment="1">
      <alignment vertical="center" wrapText="1"/>
    </xf>
    <xf numFmtId="0" fontId="0" fillId="4" borderId="25" xfId="0" applyFill="1" applyBorder="1" applyAlignment="1">
      <alignment vertical="center" wrapText="1"/>
    </xf>
    <xf numFmtId="0" fontId="0" fillId="4" borderId="26" xfId="0" applyFill="1" applyBorder="1" applyAlignment="1">
      <alignment vertical="center" wrapText="1"/>
    </xf>
    <xf numFmtId="0" fontId="9" fillId="3" borderId="24" xfId="0" applyFont="1" applyFill="1" applyBorder="1" applyAlignment="1">
      <alignment wrapText="1"/>
    </xf>
    <xf numFmtId="0" fontId="9" fillId="3" borderId="25" xfId="0" applyFont="1" applyFill="1" applyBorder="1" applyAlignment="1">
      <alignment wrapText="1"/>
    </xf>
    <xf numFmtId="0" fontId="9" fillId="3" borderId="26" xfId="0" applyFont="1" applyFill="1" applyBorder="1" applyAlignment="1">
      <alignment wrapText="1"/>
    </xf>
    <xf numFmtId="0" fontId="0" fillId="4" borderId="27" xfId="0" applyFont="1" applyFill="1" applyBorder="1" applyAlignment="1">
      <alignment vertical="center" wrapText="1"/>
    </xf>
    <xf numFmtId="0" fontId="0" fillId="4" borderId="28" xfId="0" applyFont="1" applyFill="1" applyBorder="1" applyAlignment="1">
      <alignment vertical="center" wrapText="1"/>
    </xf>
    <xf numFmtId="0" fontId="0" fillId="4" borderId="29" xfId="0" applyFont="1" applyFill="1" applyBorder="1" applyAlignment="1">
      <alignment vertical="center" wrapText="1"/>
    </xf>
    <xf numFmtId="0" fontId="0" fillId="2" borderId="7" xfId="0" applyFont="1" applyFill="1" applyBorder="1" applyAlignment="1">
      <alignment wrapText="1"/>
    </xf>
    <xf numFmtId="0" fontId="0" fillId="2" borderId="8" xfId="0" applyFont="1" applyFill="1" applyBorder="1" applyAlignment="1">
      <alignment wrapText="1"/>
    </xf>
    <xf numFmtId="0" fontId="0" fillId="2" borderId="9" xfId="0" applyFont="1" applyFill="1" applyBorder="1" applyAlignment="1">
      <alignment wrapText="1"/>
    </xf>
    <xf numFmtId="0" fontId="3" fillId="4" borderId="7" xfId="0" applyFont="1" applyFill="1" applyBorder="1" applyAlignment="1">
      <alignment vertical="center" wrapText="1"/>
    </xf>
    <xf numFmtId="0" fontId="3" fillId="4" borderId="8" xfId="0" applyFont="1" applyFill="1" applyBorder="1" applyAlignment="1">
      <alignment vertical="center" wrapText="1"/>
    </xf>
    <xf numFmtId="0" fontId="3" fillId="4" borderId="9" xfId="0" applyFont="1" applyFill="1" applyBorder="1" applyAlignment="1">
      <alignment vertical="center" wrapText="1"/>
    </xf>
    <xf numFmtId="0" fontId="2" fillId="12" borderId="0" xfId="0" applyFont="1" applyFill="1" applyAlignment="1">
      <alignment horizontal="center"/>
    </xf>
    <xf numFmtId="0" fontId="6" fillId="11" borderId="1" xfId="0" applyFont="1" applyFill="1" applyBorder="1" applyAlignment="1">
      <alignment horizontal="left"/>
    </xf>
    <xf numFmtId="0" fontId="6" fillId="11" borderId="2" xfId="0" applyFont="1" applyFill="1" applyBorder="1" applyAlignment="1">
      <alignment horizontal="left"/>
    </xf>
    <xf numFmtId="0" fontId="6" fillId="11" borderId="3" xfId="0" applyFont="1" applyFill="1" applyBorder="1" applyAlignment="1">
      <alignment horizontal="left"/>
    </xf>
    <xf numFmtId="0" fontId="7" fillId="2" borderId="4" xfId="0" applyFont="1" applyFill="1" applyBorder="1" applyAlignment="1">
      <alignment horizontal="left"/>
    </xf>
    <xf numFmtId="0" fontId="7" fillId="2" borderId="5" xfId="0" applyFont="1" applyFill="1" applyBorder="1" applyAlignment="1">
      <alignment horizontal="left"/>
    </xf>
    <xf numFmtId="0" fontId="7" fillId="2" borderId="6" xfId="0" applyFont="1" applyFill="1" applyBorder="1" applyAlignment="1">
      <alignment horizontal="left"/>
    </xf>
    <xf numFmtId="0" fontId="7" fillId="7" borderId="8" xfId="0" applyFont="1" applyFill="1" applyBorder="1" applyAlignment="1">
      <alignment horizontal="left"/>
    </xf>
    <xf numFmtId="0" fontId="7" fillId="7" borderId="9" xfId="0" applyFont="1" applyFill="1" applyBorder="1" applyAlignment="1">
      <alignment horizontal="left"/>
    </xf>
    <xf numFmtId="0" fontId="7" fillId="10" borderId="8" xfId="0" applyFont="1" applyFill="1" applyBorder="1" applyAlignment="1">
      <alignment horizontal="left" wrapText="1"/>
    </xf>
    <xf numFmtId="0" fontId="7" fillId="10" borderId="9" xfId="0" applyFont="1" applyFill="1" applyBorder="1" applyAlignment="1">
      <alignment horizontal="left" wrapText="1"/>
    </xf>
    <xf numFmtId="0" fontId="0" fillId="10" borderId="8" xfId="0" applyFill="1" applyBorder="1" applyAlignment="1">
      <alignment horizontal="left"/>
    </xf>
    <xf numFmtId="0" fontId="0" fillId="10" borderId="9" xfId="0" applyFill="1" applyBorder="1" applyAlignment="1">
      <alignment horizontal="left"/>
    </xf>
    <xf numFmtId="0" fontId="8" fillId="2" borderId="10" xfId="0" applyFont="1" applyFill="1" applyBorder="1" applyAlignment="1">
      <alignment horizontal="center" wrapText="1"/>
    </xf>
    <xf numFmtId="0" fontId="8" fillId="2" borderId="11" xfId="0" applyFont="1" applyFill="1" applyBorder="1" applyAlignment="1">
      <alignment horizontal="center" wrapText="1"/>
    </xf>
    <xf numFmtId="0" fontId="8" fillId="2" borderId="12" xfId="0" applyFont="1" applyFill="1" applyBorder="1" applyAlignment="1">
      <alignment horizontal="center" wrapText="1"/>
    </xf>
    <xf numFmtId="0" fontId="9" fillId="3" borderId="13" xfId="0" applyFont="1" applyFill="1" applyBorder="1"/>
    <xf numFmtId="0" fontId="9" fillId="3" borderId="14" xfId="0" applyFont="1" applyFill="1" applyBorder="1"/>
    <xf numFmtId="0" fontId="9" fillId="3" borderId="15" xfId="0" applyFont="1" applyFill="1" applyBorder="1"/>
    <xf numFmtId="0" fontId="0" fillId="4" borderId="16" xfId="0" applyFill="1" applyBorder="1" applyAlignment="1">
      <alignment vertical="center" wrapText="1"/>
    </xf>
    <xf numFmtId="0" fontId="0" fillId="4" borderId="17" xfId="0" applyFill="1" applyBorder="1" applyAlignment="1">
      <alignment vertical="center" wrapText="1"/>
    </xf>
    <xf numFmtId="0" fontId="0" fillId="4" borderId="18" xfId="0" applyFill="1" applyBorder="1" applyAlignment="1">
      <alignment vertical="center" wrapText="1"/>
    </xf>
    <xf numFmtId="0" fontId="0" fillId="0" borderId="19" xfId="0" applyBorder="1" applyAlignment="1">
      <alignment vertical="center" wrapText="1"/>
    </xf>
    <xf numFmtId="0" fontId="0" fillId="0" borderId="0" xfId="0" applyBorder="1" applyAlignment="1">
      <alignment vertical="center" wrapText="1"/>
    </xf>
    <xf numFmtId="0" fontId="0" fillId="0" borderId="20" xfId="0" applyBorder="1" applyAlignment="1">
      <alignment vertical="center" wrapText="1"/>
    </xf>
    <xf numFmtId="0" fontId="2" fillId="5" borderId="39" xfId="0" applyFont="1" applyFill="1" applyBorder="1" applyAlignment="1">
      <alignment horizontal="center"/>
    </xf>
    <xf numFmtId="0" fontId="2" fillId="5" borderId="8" xfId="0" applyFont="1" applyFill="1" applyBorder="1" applyAlignment="1">
      <alignment horizontal="center"/>
    </xf>
    <xf numFmtId="0" fontId="2" fillId="19" borderId="19" xfId="0" applyFont="1" applyFill="1" applyBorder="1" applyAlignment="1">
      <alignment horizontal="center"/>
    </xf>
    <xf numFmtId="0" fontId="2" fillId="19" borderId="0" xfId="0" applyFont="1" applyFill="1" applyBorder="1" applyAlignment="1">
      <alignment horizontal="center"/>
    </xf>
    <xf numFmtId="0" fontId="2" fillId="19" borderId="20" xfId="0" applyFont="1" applyFill="1" applyBorder="1" applyAlignment="1">
      <alignment horizontal="center"/>
    </xf>
    <xf numFmtId="0" fontId="2" fillId="22" borderId="0" xfId="0" applyFont="1" applyFill="1" applyAlignment="1">
      <alignment horizontal="center"/>
    </xf>
    <xf numFmtId="0" fontId="2" fillId="18" borderId="0" xfId="0" applyFont="1" applyFill="1" applyAlignment="1">
      <alignment horizontal="center"/>
    </xf>
    <xf numFmtId="0" fontId="2" fillId="14" borderId="19" xfId="0" applyFont="1" applyFill="1" applyBorder="1" applyAlignment="1">
      <alignment horizontal="center"/>
    </xf>
    <xf numFmtId="0" fontId="2" fillId="14" borderId="0" xfId="0" applyFont="1" applyFill="1" applyBorder="1" applyAlignment="1">
      <alignment horizontal="center"/>
    </xf>
    <xf numFmtId="0" fontId="2" fillId="14" borderId="20" xfId="0" applyFont="1" applyFill="1" applyBorder="1" applyAlignment="1">
      <alignment horizontal="center"/>
    </xf>
    <xf numFmtId="0" fontId="2" fillId="19" borderId="0" xfId="0" applyFont="1" applyFill="1" applyAlignment="1">
      <alignment horizontal="center"/>
    </xf>
    <xf numFmtId="0" fontId="2" fillId="22" borderId="19" xfId="0" applyFont="1" applyFill="1" applyBorder="1" applyAlignment="1">
      <alignment horizontal="center"/>
    </xf>
    <xf numFmtId="0" fontId="2" fillId="22" borderId="0" xfId="0" applyFont="1" applyFill="1" applyBorder="1" applyAlignment="1">
      <alignment horizontal="center"/>
    </xf>
    <xf numFmtId="0" fontId="2" fillId="22" borderId="20" xfId="0" applyFont="1" applyFill="1" applyBorder="1" applyAlignment="1">
      <alignment horizontal="center"/>
    </xf>
    <xf numFmtId="164" fontId="0" fillId="0" borderId="38" xfId="1" quotePrefix="1" applyNumberFormat="1" applyFont="1" applyFill="1" applyBorder="1" applyAlignment="1">
      <alignment horizontal="center"/>
    </xf>
    <xf numFmtId="164" fontId="0" fillId="0" borderId="40" xfId="1" applyNumberFormat="1" applyFont="1" applyFill="1" applyBorder="1" applyAlignment="1">
      <alignment horizontal="center"/>
    </xf>
    <xf numFmtId="0" fontId="0" fillId="0" borderId="38" xfId="0" quotePrefix="1" applyFont="1" applyFill="1" applyBorder="1" applyAlignment="1">
      <alignment horizontal="right"/>
    </xf>
    <xf numFmtId="0" fontId="0" fillId="0" borderId="40" xfId="0" applyFont="1" applyFill="1" applyBorder="1" applyAlignment="1">
      <alignment horizontal="right"/>
    </xf>
    <xf numFmtId="0" fontId="0" fillId="0" borderId="38" xfId="0" quotePrefix="1" applyNumberFormat="1" applyFont="1" applyFill="1" applyBorder="1" applyAlignment="1">
      <alignment horizontal="right"/>
    </xf>
    <xf numFmtId="3" fontId="0" fillId="0" borderId="39" xfId="0" quotePrefix="1" applyNumberFormat="1" applyFont="1" applyFill="1" applyBorder="1" applyAlignment="1">
      <alignment horizontal="right" vertical="center"/>
    </xf>
    <xf numFmtId="3" fontId="0" fillId="0" borderId="41" xfId="0" applyNumberFormat="1" applyFont="1" applyFill="1" applyBorder="1" applyAlignment="1">
      <alignment horizontal="right" vertical="center"/>
    </xf>
    <xf numFmtId="0" fontId="17" fillId="0" borderId="0" xfId="0" applyFont="1"/>
    <xf numFmtId="0" fontId="16" fillId="27" borderId="52" xfId="0" applyFont="1" applyFill="1" applyBorder="1" applyAlignment="1">
      <alignment horizontal="center"/>
    </xf>
    <xf numFmtId="0" fontId="16" fillId="27" borderId="31" xfId="0" applyFont="1" applyFill="1" applyBorder="1" applyAlignment="1">
      <alignment horizontal="center"/>
    </xf>
    <xf numFmtId="0" fontId="0" fillId="27" borderId="54" xfId="0" applyFill="1" applyBorder="1" applyAlignment="1">
      <alignment horizontal="center"/>
    </xf>
    <xf numFmtId="0" fontId="0" fillId="27" borderId="55" xfId="0" applyFill="1" applyBorder="1" applyAlignment="1">
      <alignment horizontal="center"/>
    </xf>
    <xf numFmtId="0" fontId="0" fillId="27" borderId="34" xfId="0" applyFill="1" applyBorder="1"/>
    <xf numFmtId="0" fontId="0" fillId="27" borderId="34" xfId="0" applyFill="1" applyBorder="1" applyAlignment="1">
      <alignment horizontal="center"/>
    </xf>
    <xf numFmtId="0" fontId="11" fillId="13" borderId="56" xfId="0" applyFont="1" applyFill="1" applyBorder="1"/>
    <xf numFmtId="0" fontId="0" fillId="15" borderId="57" xfId="0" applyFill="1" applyBorder="1"/>
    <xf numFmtId="0" fontId="3" fillId="29" borderId="57" xfId="0" applyFont="1" applyFill="1" applyBorder="1" applyAlignment="1">
      <alignment horizontal="center"/>
    </xf>
    <xf numFmtId="0" fontId="0" fillId="28" borderId="58" xfId="0" applyFill="1" applyBorder="1" applyAlignment="1">
      <alignment horizontal="center"/>
    </xf>
    <xf numFmtId="0" fontId="12" fillId="26" borderId="47" xfId="0" applyFont="1" applyFill="1" applyBorder="1"/>
    <xf numFmtId="0" fontId="12" fillId="26" borderId="48" xfId="0" applyFont="1" applyFill="1" applyBorder="1" applyAlignment="1">
      <alignment horizontal="center"/>
    </xf>
    <xf numFmtId="0" fontId="3" fillId="25" borderId="47" xfId="0" applyFont="1" applyFill="1" applyBorder="1"/>
    <xf numFmtId="164" fontId="0" fillId="25" borderId="48" xfId="1" applyNumberFormat="1" applyFont="1" applyFill="1" applyBorder="1" applyAlignment="1">
      <alignment horizontal="right"/>
    </xf>
    <xf numFmtId="0" fontId="3" fillId="0" borderId="47" xfId="0" applyFont="1" applyFill="1" applyBorder="1"/>
    <xf numFmtId="164" fontId="0" fillId="0" borderId="48" xfId="1" applyNumberFormat="1" applyFont="1" applyFill="1" applyBorder="1" applyAlignment="1">
      <alignment horizontal="right"/>
    </xf>
    <xf numFmtId="0" fontId="3" fillId="0" borderId="59" xfId="0" applyFont="1" applyFill="1" applyBorder="1"/>
    <xf numFmtId="164" fontId="0" fillId="0" borderId="60" xfId="1" applyNumberFormat="1" applyFont="1" applyFill="1" applyBorder="1" applyAlignment="1">
      <alignment horizontal="right"/>
    </xf>
    <xf numFmtId="164" fontId="0" fillId="0" borderId="61" xfId="1" applyNumberFormat="1" applyFont="1" applyFill="1" applyBorder="1" applyAlignment="1">
      <alignment horizontal="right"/>
    </xf>
    <xf numFmtId="0" fontId="18" fillId="27" borderId="53" xfId="0" applyFont="1" applyFill="1" applyBorder="1" applyAlignment="1">
      <alignment horizontal="center"/>
    </xf>
  </cellXfs>
  <cellStyles count="2">
    <cellStyle name="Comma" xfId="1" builtinId="3"/>
    <cellStyle name="Normal" xfId="0" builtinId="0"/>
  </cellStyles>
  <dxfs count="269">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vertical/>
        <horizontal/>
      </border>
    </dxf>
    <dxf>
      <numFmt numFmtId="0" formatCode="General"/>
    </dxf>
    <dxf>
      <numFmt numFmtId="0" formatCode="General"/>
      <border>
        <left style="thin">
          <color indexed="64"/>
        </left>
      </border>
    </dxf>
    <dxf>
      <numFmt numFmtId="164" formatCode="_(* #,##0_);_(* \(#,##0\);_(* &quot;-&quot;??_);_(@_)"/>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4D4D4D"/>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7" tint="-0.499984740745262"/>
      </font>
      <fill>
        <patternFill>
          <bgColor theme="7" tint="0.59996337778862885"/>
        </patternFill>
      </fill>
    </dxf>
    <dxf>
      <font>
        <color rgb="FF9C0006"/>
      </font>
      <fill>
        <patternFill>
          <bgColor rgb="FFFFC7CE"/>
        </patternFill>
      </fill>
    </dxf>
    <dxf>
      <border diagonalUp="0" diagonalDown="0">
        <left style="thin">
          <color indexed="64"/>
        </left>
        <right style="thick">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horizontal/>
      </border>
    </dxf>
    <dxf>
      <border diagonalUp="0" diagonalDown="0">
        <left style="thick">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ck">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horizontal/>
      </border>
    </dxf>
    <dxf>
      <border diagonalUp="0" diagonalDown="0">
        <left style="thick">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top style="thin">
          <color indexed="64"/>
        </top>
        <bottom style="thin">
          <color indexed="64"/>
        </bottom>
        <vertical/>
        <horizontal/>
      </border>
    </dxf>
    <dxf>
      <border diagonalUp="0" diagonalDown="0" outline="0">
        <left style="thin">
          <color indexed="64"/>
        </left>
        <right style="thin">
          <color indexed="64"/>
        </right>
        <top style="thin">
          <color indexed="64"/>
        </top>
        <bottom style="thin">
          <color indexed="64"/>
        </bottom>
      </border>
    </dxf>
    <dxf>
      <numFmt numFmtId="164" formatCode="_(* #,##0_);_(* \(#,##0\);_(* &quot;-&quot;??_);_(@_)"/>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style="thin">
          <color indexed="64"/>
        </bottom>
        <vertical/>
        <horizontal/>
      </border>
    </dxf>
    <dxf>
      <numFmt numFmtId="164" formatCode="_(* #,##0_);_(* \(#,##0\);_(* &quot;-&quot;??_);_(@_)"/>
      <border diagonalUp="0" diagonalDown="0" outline="0">
        <left style="thin">
          <color indexed="64"/>
        </left>
        <right style="thin">
          <color indexed="64"/>
        </right>
        <top style="thin">
          <color indexed="64"/>
        </top>
        <bottom style="thin">
          <color indexed="64"/>
        </bottom>
      </border>
    </dxf>
    <dxf>
      <border diagonalUp="0" diagonalDown="0">
        <left/>
        <right style="thick">
          <color indexed="64"/>
        </right>
        <top/>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outline="0">
        <left style="thin">
          <color indexed="64"/>
        </left>
      </border>
    </dxf>
    <dxf>
      <numFmt numFmtId="164" formatCode="_(* #,##0_);_(* \(#,##0\);_(* &quot;-&quot;??_);_(@_)"/>
    </dxf>
    <dxf>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border>
    </dxf>
    <dxf>
      <numFmt numFmtId="164" formatCode="_(* #,##0_);_(* \(#,##0\);_(* &quot;-&quot;??_);_(@_)"/>
      <border outline="0">
        <left style="thin">
          <color indexed="64"/>
        </left>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style="thin">
          <color indexed="64"/>
        </bottom>
        <vertical/>
        <horizontal/>
      </border>
    </dxf>
    <dxf>
      <numFmt numFmtId="164" formatCode="_(* #,##0_);_(* \(#,##0\);_(* &quot;-&quot;??_);_(@_)"/>
      <border diagonalUp="0" diagonalDown="0" outline="0">
        <left style="thick">
          <color indexed="64"/>
        </left>
        <right/>
        <top/>
        <bottom/>
      </border>
    </dxf>
    <dxf>
      <border diagonalUp="0" diagonalDown="0">
        <left style="thin">
          <color indexed="64"/>
        </left>
        <right/>
        <top/>
        <bottom/>
        <vertical/>
        <horizontal/>
      </border>
    </dxf>
    <dxf>
      <border diagonalUp="0" diagonalDown="0">
        <left/>
        <right style="thick">
          <color indexed="64"/>
        </right>
        <top/>
        <bottom/>
        <vertical/>
        <horizontal/>
      </border>
    </dxf>
    <dxf>
      <border diagonalUp="0" diagonalDown="0">
        <left style="thin">
          <color indexed="64"/>
        </left>
        <right/>
        <top style="thin">
          <color indexed="64"/>
        </top>
        <bottom style="thin">
          <color indexed="64"/>
        </bottom>
        <vertical/>
        <horizontal/>
      </border>
    </dxf>
    <dxf>
      <border outline="0">
        <left style="thin">
          <color indexed="64"/>
        </left>
      </border>
    </dxf>
    <dxf>
      <numFmt numFmtId="164" formatCode="_(* #,##0_);_(* \(#,##0\);_(* &quot;-&quot;??_);_(@_)"/>
    </dxf>
    <dxf>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border>
    </dxf>
    <dxf>
      <numFmt numFmtId="164" formatCode="_(* #,##0_);_(* \(#,##0\);_(* &quot;-&quot;??_);_(@_)"/>
      <border outline="0">
        <left style="thin">
          <color indexed="64"/>
        </left>
      </border>
    </dxf>
    <dxf>
      <font>
        <b val="0"/>
        <i val="0"/>
        <strike val="0"/>
        <condense val="0"/>
        <extend val="0"/>
        <outline val="0"/>
        <shadow val="0"/>
        <u val="none"/>
        <vertAlign val="baseline"/>
        <sz val="11"/>
        <color theme="1"/>
        <name val="Calibri"/>
        <scheme val="minor"/>
      </font>
      <numFmt numFmtId="164" formatCode="_(* #,##0_);_(* \(#,##0\);_(* &quot;-&quot;??_);_(@_)"/>
      <border diagonalUp="0" diagonalDown="0">
        <left/>
        <right style="thin">
          <color indexed="64"/>
        </right>
        <top style="thin">
          <color indexed="64"/>
        </top>
        <bottom style="thin">
          <color indexed="64"/>
        </bottom>
        <vertical/>
        <horizontal/>
      </border>
    </dxf>
    <dxf>
      <numFmt numFmtId="164" formatCode="_(* #,##0_);_(* \(#,##0\);_(* &quot;-&quot;??_);_(@_)"/>
      <border diagonalUp="0" diagonalDown="0" outline="0">
        <left style="thick">
          <color indexed="64"/>
        </left>
        <right/>
        <top/>
        <bottom/>
      </border>
    </dxf>
    <dxf>
      <border diagonalUp="0" diagonalDown="0">
        <left style="thin">
          <color indexed="64"/>
        </left>
        <right style="thick">
          <color indexed="64"/>
        </right>
        <top style="thin">
          <color auto="1"/>
        </top>
        <bottom style="thin">
          <color auto="1"/>
        </bottom>
        <vertical style="thin">
          <color indexed="64"/>
        </vertical>
        <horizontal style="thin">
          <color auto="1"/>
        </horizontal>
      </border>
    </dxf>
    <dxf>
      <border diagonalUp="0" diagonalDown="0">
        <left style="thin">
          <color indexed="64"/>
        </left>
        <right style="thin">
          <color indexed="64"/>
        </right>
        <top style="thin">
          <color auto="1"/>
        </top>
        <bottom style="thin">
          <color auto="1"/>
        </bottom>
        <vertical style="thin">
          <color indexed="64"/>
        </vertical>
        <horizontal style="thin">
          <color auto="1"/>
        </horizontal>
      </border>
    </dxf>
    <dxf>
      <border diagonalUp="0" diagonalDown="0">
        <left style="thin">
          <color indexed="64"/>
        </left>
        <right/>
        <top style="thin">
          <color indexed="64"/>
        </top>
        <bottom/>
        <vertical/>
        <horizontal/>
      </border>
    </dxf>
    <dxf>
      <border diagonalUp="0" diagonalDown="0" outline="0">
        <left style="thin">
          <color indexed="64"/>
        </left>
        <right style="thin">
          <color indexed="64"/>
        </right>
        <top style="thin">
          <color indexed="64"/>
        </top>
        <bottom style="thin">
          <color indexed="64"/>
        </bottom>
      </border>
    </dxf>
    <dxf>
      <numFmt numFmtId="164" formatCode="_(* #,##0_);_(* \(#,##0\);_(* &quot;-&quot;??_);_(@_)"/>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vertical/>
        <horizontal/>
      </border>
    </dxf>
    <dxf>
      <border diagonalUp="0" diagonalDown="0" outline="0">
        <left style="thin">
          <color indexed="64"/>
        </left>
        <right style="thin">
          <color indexed="64"/>
        </right>
        <top style="thin">
          <color indexed="64"/>
        </top>
        <bottom style="thin">
          <color indexed="64"/>
        </bottom>
      </border>
    </dxf>
    <dxf>
      <numFmt numFmtId="164" formatCode="_(* #,##0_);_(* \(#,##0\);_(* &quot;-&quot;??_);_(@_)"/>
      <border diagonalUp="0" diagonalDown="0" outline="0">
        <left style="thin">
          <color indexed="64"/>
        </left>
        <right style="thin">
          <color indexed="64"/>
        </right>
        <top style="thin">
          <color indexed="64"/>
        </top>
        <bottom style="thin">
          <color indexed="64"/>
        </bottom>
      </border>
    </dxf>
    <dxf>
      <numFmt numFmtId="164" formatCode="_(* #,##0_);_(* \(#,##0\);_(* &quot;-&quot;??_);_(@_)"/>
      <border diagonalUp="0" diagonalDown="0" outline="0">
        <left style="thin">
          <color indexed="64"/>
        </left>
        <right style="thin">
          <color indexed="64"/>
        </right>
        <top style="thin">
          <color indexed="64"/>
        </top>
        <bottom style="thin">
          <color indexed="64"/>
        </bottom>
      </border>
    </dxf>
    <dxf>
      <border diagonalUp="0" diagonalDown="0">
        <left/>
        <right style="thick">
          <color indexed="64"/>
        </right>
        <top/>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outline="0">
        <right style="thin">
          <color indexed="64"/>
        </right>
      </border>
    </dxf>
    <dxf>
      <border outline="0">
        <left style="thin">
          <color indexed="64"/>
        </left>
      </border>
    </dxf>
    <dxf>
      <numFmt numFmtId="164" formatCode="_(* #,##0_);_(* \(#,##0\);_(* &quot;-&quot;??_);_(@_)"/>
      <border diagonalUp="0" diagonalDown="0" outline="0">
        <left style="thick">
          <color indexed="64"/>
        </left>
        <right/>
        <top/>
        <bottom/>
      </border>
    </dxf>
    <dxf>
      <border diagonalUp="0" diagonalDown="0" outline="0">
        <left style="thin">
          <color indexed="64"/>
        </left>
        <right style="thick">
          <color indexed="64"/>
        </right>
        <top style="thin">
          <color indexed="64"/>
        </top>
        <bottom style="thin">
          <color indexed="64"/>
        </bottom>
      </border>
    </dxf>
    <dxf>
      <border diagonalUp="0" diagonalDown="0">
        <left style="thin">
          <color indexed="64"/>
        </left>
        <right style="thin">
          <color indexed="64"/>
        </right>
        <top style="thin">
          <color auto="1"/>
        </top>
        <bottom style="thin">
          <color auto="1"/>
        </bottom>
        <vertical style="thin">
          <color indexed="64"/>
        </vertical>
        <horizontal style="thin">
          <color auto="1"/>
        </horizontal>
      </border>
    </dxf>
    <dxf>
      <border diagonalUp="0" diagonalDown="0">
        <left style="thin">
          <color indexed="64"/>
        </left>
        <right style="thin">
          <color indexed="64"/>
        </right>
        <top style="thin">
          <color auto="1"/>
        </top>
        <bottom style="thin">
          <color auto="1"/>
        </bottom>
        <vertical style="thin">
          <color indexed="64"/>
        </vertical>
        <horizontal style="thin">
          <color auto="1"/>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scheme val="minor"/>
      </font>
      <alignment horizontal="left"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right"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rgb="FFF8F8F8"/>
        <name val="Calibri"/>
        <scheme val="minor"/>
      </font>
      <fill>
        <patternFill patternType="solid">
          <fgColor indexed="64"/>
          <bgColor rgb="FF5F5F5F"/>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4" formatCode="_(* #,##0_);_(* \(#,##0\);_(* &quot;-&quot;??_);_(@_)"/>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style="thin">
          <color indexed="64"/>
        </right>
        <top style="thin">
          <color indexed="64"/>
        </top>
        <bottom style="thin">
          <color indexed="64"/>
        </bottom>
      </border>
    </dxf>
    <dxf>
      <border>
        <top style="thin">
          <color indexed="64"/>
        </top>
      </border>
    </dxf>
    <dxf>
      <font>
        <b val="0"/>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border outline="0">
        <top style="thin">
          <color indexed="64"/>
        </top>
      </border>
    </dxf>
    <dxf>
      <border outline="0">
        <bottom style="thin">
          <color indexed="64"/>
        </bottom>
      </border>
    </dxf>
    <dxf>
      <fill>
        <patternFill patternType="none">
          <bgColor auto="1"/>
        </patternFill>
      </fill>
      <alignment horizontal="left" vertical="bottom" textRotation="0" indent="0" justifyLastLine="0" shrinkToFit="0" readingOrder="0"/>
      <border diagonalUp="0" diagonalDown="0" outline="0">
        <left style="thin">
          <color indexed="64"/>
        </left>
        <right/>
        <top style="thin">
          <color indexed="64"/>
        </top>
        <bottom style="thin">
          <color indexed="64"/>
        </bottom>
      </border>
    </dxf>
    <dxf>
      <fill>
        <patternFill patternType="none">
          <bgColor auto="1"/>
        </patternFill>
      </fill>
      <border diagonalUp="0" diagonalDown="0" outline="0">
        <left style="thin">
          <color indexed="64"/>
        </left>
        <right style="thin">
          <color indexed="64"/>
        </right>
        <top style="thin">
          <color indexed="64"/>
        </top>
        <bottom style="thin">
          <color indexed="64"/>
        </bottom>
      </border>
    </dxf>
    <dxf>
      <fill>
        <patternFill patternType="none">
          <bgColor auto="1"/>
        </patternFill>
      </fill>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5F5F5F"/>
      <color rgb="FF333333"/>
      <color rgb="FF080808"/>
      <color rgb="FFFFFF66"/>
      <color rgb="FFFFFFCC"/>
      <color rgb="FFF8F8F8"/>
      <color rgb="FFAAAAAA"/>
      <color rgb="FFC0C0C0"/>
      <color rgb="FFB2B2B2"/>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297180</xdr:colOff>
      <xdr:row>6</xdr:row>
      <xdr:rowOff>129540</xdr:rowOff>
    </xdr:from>
    <xdr:to>
      <xdr:col>1</xdr:col>
      <xdr:colOff>373380</xdr:colOff>
      <xdr:row>6</xdr:row>
      <xdr:rowOff>213360</xdr:rowOff>
    </xdr:to>
    <xdr:sp macro="" textlink="">
      <xdr:nvSpPr>
        <xdr:cNvPr id="2" name="Flowchart: Connector 1"/>
        <xdr:cNvSpPr/>
      </xdr:nvSpPr>
      <xdr:spPr>
        <a:xfrm>
          <a:off x="556260" y="147066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297180</xdr:colOff>
      <xdr:row>7</xdr:row>
      <xdr:rowOff>45720</xdr:rowOff>
    </xdr:from>
    <xdr:to>
      <xdr:col>1</xdr:col>
      <xdr:colOff>373380</xdr:colOff>
      <xdr:row>7</xdr:row>
      <xdr:rowOff>129540</xdr:rowOff>
    </xdr:to>
    <xdr:sp macro="" textlink="">
      <xdr:nvSpPr>
        <xdr:cNvPr id="3" name="Flowchart: Connector 2"/>
        <xdr:cNvSpPr/>
      </xdr:nvSpPr>
      <xdr:spPr>
        <a:xfrm>
          <a:off x="556260" y="175260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297180</xdr:colOff>
      <xdr:row>8</xdr:row>
      <xdr:rowOff>38100</xdr:rowOff>
    </xdr:from>
    <xdr:to>
      <xdr:col>1</xdr:col>
      <xdr:colOff>373380</xdr:colOff>
      <xdr:row>8</xdr:row>
      <xdr:rowOff>121920</xdr:rowOff>
    </xdr:to>
    <xdr:sp macro="" textlink="">
      <xdr:nvSpPr>
        <xdr:cNvPr id="4" name="Flowchart: Connector 3"/>
        <xdr:cNvSpPr/>
      </xdr:nvSpPr>
      <xdr:spPr>
        <a:xfrm>
          <a:off x="556260" y="192786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304800</xdr:colOff>
      <xdr:row>5</xdr:row>
      <xdr:rowOff>53340</xdr:rowOff>
    </xdr:from>
    <xdr:to>
      <xdr:col>1</xdr:col>
      <xdr:colOff>381000</xdr:colOff>
      <xdr:row>5</xdr:row>
      <xdr:rowOff>137160</xdr:rowOff>
    </xdr:to>
    <xdr:sp macro="" textlink="">
      <xdr:nvSpPr>
        <xdr:cNvPr id="5" name="Flowchart: Connector 4"/>
        <xdr:cNvSpPr/>
      </xdr:nvSpPr>
      <xdr:spPr>
        <a:xfrm>
          <a:off x="563880" y="1211580"/>
          <a:ext cx="76200" cy="8382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id="1" name="SettingsTable" displayName="SettingsTable" ref="A1:C12" totalsRowShown="0" headerRowDxfId="268" dataDxfId="266" headerRowBorderDxfId="267" tableBorderDxfId="265" totalsRowBorderDxfId="264">
  <autoFilter ref="A1:C12">
    <filterColumn colId="0" hiddenButton="1"/>
    <filterColumn colId="1" hiddenButton="1"/>
    <filterColumn colId="2" hiddenButton="1"/>
  </autoFilter>
  <tableColumns count="3">
    <tableColumn id="2" name="Group" dataDxfId="263"/>
    <tableColumn id="3" name="Option" dataDxfId="262"/>
    <tableColumn id="4" name="Setting" dataDxfId="261"/>
  </tableColumns>
  <tableStyleInfo name="TableStyleMedium1" showFirstColumn="0" showLastColumn="0" showRowStripes="1" showColumnStripes="0"/>
</table>
</file>

<file path=xl/tables/table2.xml><?xml version="1.0" encoding="utf-8"?>
<table xmlns="http://schemas.openxmlformats.org/spreadsheetml/2006/main" id="2" name="Table15" displayName="Table15" ref="A14:C26" totalsRowShown="0" headerRowBorderDxfId="260" tableBorderDxfId="259">
  <autoFilter ref="A14:C26">
    <filterColumn colId="0" hiddenButton="1"/>
    <filterColumn colId="1" hiddenButton="1"/>
    <filterColumn colId="2" hiddenButton="1"/>
  </autoFilter>
  <tableColumns count="3">
    <tableColumn id="1" name="Group"/>
    <tableColumn id="2" name="Option"/>
    <tableColumn id="3" name="Setting" dataDxfId="258"/>
  </tableColumns>
  <tableStyleInfo name="TableStyleMedium15" showFirstColumn="0" showLastColumn="0" showRowStripes="1" showColumnStripes="0"/>
</table>
</file>

<file path=xl/tables/table3.xml><?xml version="1.0" encoding="utf-8"?>
<table xmlns="http://schemas.openxmlformats.org/spreadsheetml/2006/main" id="3" name="OverviewTable" displayName="OverviewTable" ref="A1:N51" totalsRowShown="0" headerRowDxfId="257" dataDxfId="255" totalsRowDxfId="253" headerRowBorderDxfId="256" tableBorderDxfId="254" totalsRowBorderDxfId="252">
  <autoFilter ref="A1:N51"/>
  <sortState ref="A2:N51">
    <sortCondition ref="A1:A51"/>
  </sortState>
  <tableColumns count="14">
    <tableColumn id="1" name="Guild Member" dataDxfId="251" totalsRowDxfId="250"/>
    <tableColumn id="2" name="Ally Code" dataDxfId="249" totalsRowDxfId="248"/>
    <tableColumn id="3" name="Total Territory Points" dataDxfId="247" totalsRowDxfId="246" dataCellStyle="Comma"/>
    <tableColumn id="14" name="Max Available GP to Deploy" dataDxfId="17" totalsRowDxfId="245" dataCellStyle="Comma"/>
    <tableColumn id="13" name="Actual GP Deployed" dataDxfId="16" totalsRowDxfId="244" dataCellStyle="Comma"/>
    <tableColumn id="4" name="Platoons" dataDxfId="243" totalsRowDxfId="242"/>
    <tableColumn id="5" name="Platoons Assigned" dataDxfId="15" totalsRowDxfId="241"/>
    <tableColumn id="6" name="Combat Waves Completed" dataDxfId="240" totalsRowDxfId="239"/>
    <tableColumn id="7" name="Combat Mssion Points" dataDxfId="14" totalsRowDxfId="238" dataCellStyle="Comma"/>
    <tableColumn id="8" name="Special Missions" dataDxfId="13" totalsRowDxfId="237"/>
    <tableColumn id="9" name="Special Mission Success" dataDxfId="12" totalsRowDxfId="236"/>
    <tableColumn id="10" name="Rogue Actions" dataDxfId="235" totalsRowDxfId="234"/>
    <tableColumn id="11" name="Exclusive Unit Mission Attempt" dataDxfId="233" totalsRowDxfId="232"/>
    <tableColumn id="12" name="Exclusive Unit Mission Success" dataDxfId="231" totalsRowDxfId="230"/>
  </tableColumns>
  <tableStyleInfo name="TableStyleMedium2" showFirstColumn="0" showLastColumn="0" showRowStripes="1" showColumnStripes="0"/>
</table>
</file>

<file path=xl/tables/table4.xml><?xml version="1.0" encoding="utf-8"?>
<table xmlns="http://schemas.openxmlformats.org/spreadsheetml/2006/main" id="4" name="Phase1_Table" displayName="Phase1_Table" ref="A1:O51" totalsRowShown="0" headerRowDxfId="229" dataDxfId="227" headerRowBorderDxfId="228" tableBorderDxfId="226" totalsRowBorderDxfId="225">
  <autoFilter ref="A1:O51"/>
  <sortState ref="A2:O51">
    <sortCondition ref="A1:A51"/>
  </sortState>
  <tableColumns count="15">
    <tableColumn id="1" name="Guild Member" dataDxfId="224"/>
    <tableColumn id="2" name="Ally Code" dataDxfId="223"/>
    <tableColumn id="13" name="Character GP" dataDxfId="222"/>
    <tableColumn id="12" name="Ship GP" dataDxfId="221"/>
    <tableColumn id="3" name="Territory Points" dataDxfId="220"/>
    <tableColumn id="14" name="Available GP" dataDxfId="219"/>
    <tableColumn id="4" name="GP Deployed" dataDxfId="218"/>
    <tableColumn id="9" name="Combat Missions Attempted" dataDxfId="217"/>
    <tableColumn id="5" name="Combat Waves Completed" dataDxfId="216"/>
    <tableColumn id="6" name="CM Points" dataDxfId="215"/>
    <tableColumn id="7" name="Special Missions Attempted" dataDxfId="214"/>
    <tableColumn id="10" name="SM Success" dataDxfId="213"/>
    <tableColumn id="8" name="Platoons Donated" dataDxfId="212"/>
    <tableColumn id="15" name="Platoons Assigned" dataDxfId="211"/>
    <tableColumn id="11" name="Rogue Action" dataDxfId="210"/>
  </tableColumns>
  <tableStyleInfo name="TableStyleMedium15" showFirstColumn="0" showLastColumn="0" showRowStripes="1" showColumnStripes="0"/>
</table>
</file>

<file path=xl/tables/table5.xml><?xml version="1.0" encoding="utf-8"?>
<table xmlns="http://schemas.openxmlformats.org/spreadsheetml/2006/main" id="5" name="Phase2_Table" displayName="Phase2_Table" ref="A1:O51" totalsRowShown="0" headerRowDxfId="209" dataDxfId="207" headerRowBorderDxfId="208" tableBorderDxfId="206" totalsRowBorderDxfId="205">
  <autoFilter ref="A1:O51"/>
  <sortState ref="A2:H51">
    <sortCondition ref="A1:A51"/>
  </sortState>
  <tableColumns count="15">
    <tableColumn id="1" name="Guild Member" dataDxfId="204"/>
    <tableColumn id="2" name="Ally Code" dataDxfId="203"/>
    <tableColumn id="13" name="Character GP" dataDxfId="202"/>
    <tableColumn id="12" name="Ship GP" dataDxfId="201"/>
    <tableColumn id="3" name="Territory Points" dataDxfId="200"/>
    <tableColumn id="14" name="Available GP" dataDxfId="199"/>
    <tableColumn id="4" name="GP Deployed" dataDxfId="198"/>
    <tableColumn id="9" name="Combat Missions Attempted" dataDxfId="197"/>
    <tableColumn id="5" name="Combat Waves Completed" dataDxfId="196"/>
    <tableColumn id="6" name="CM Points" dataDxfId="195"/>
    <tableColumn id="7" name="Special Missions Attempted" dataDxfId="194"/>
    <tableColumn id="10" name="SM Success" dataDxfId="193"/>
    <tableColumn id="8" name="Platoons Donated" dataDxfId="192"/>
    <tableColumn id="15" name="Platoons Assigned" dataDxfId="191"/>
    <tableColumn id="11" name="Rogue Action" dataDxfId="190"/>
  </tableColumns>
  <tableStyleInfo name="TableStyleMedium15" showFirstColumn="0" showLastColumn="0" showRowStripes="1" showColumnStripes="0"/>
</table>
</file>

<file path=xl/tables/table6.xml><?xml version="1.0" encoding="utf-8"?>
<table xmlns="http://schemas.openxmlformats.org/spreadsheetml/2006/main" id="6" name="Phase3_Table" displayName="Phase3_Table" ref="A1:O51" totalsRowShown="0" headerRowDxfId="189" dataDxfId="187" headerRowBorderDxfId="188" tableBorderDxfId="186" totalsRowBorderDxfId="185">
  <autoFilter ref="A1:O51"/>
  <sortState ref="A2:H51">
    <sortCondition ref="A1:A51"/>
  </sortState>
  <tableColumns count="15">
    <tableColumn id="1" name="Guild Member" dataDxfId="184"/>
    <tableColumn id="2" name="Ally Code" dataDxfId="183"/>
    <tableColumn id="13" name="Character GP" dataDxfId="182"/>
    <tableColumn id="12" name="Ship GP" dataDxfId="181"/>
    <tableColumn id="3" name="Territory Points" dataDxfId="180"/>
    <tableColumn id="14" name="Available GP" dataDxfId="179"/>
    <tableColumn id="4" name="GP Deployed" dataDxfId="178"/>
    <tableColumn id="9" name="Combat Missions Attempted" dataDxfId="177"/>
    <tableColumn id="5" name="Combat Waves Completed" dataDxfId="176"/>
    <tableColumn id="6" name="CM Points" dataDxfId="175"/>
    <tableColumn id="7" name="Special Missions Attempted" dataDxfId="174"/>
    <tableColumn id="10" name="SM Success" dataDxfId="173"/>
    <tableColumn id="8" name="Platoons Donated" dataDxfId="172"/>
    <tableColumn id="15" name="Platoons Assigned" dataDxfId="171"/>
    <tableColumn id="11" name="Rogue Action" dataDxfId="170"/>
  </tableColumns>
  <tableStyleInfo name="TableStyleMedium15" showFirstColumn="0" showLastColumn="0" showRowStripes="1" showColumnStripes="0"/>
</table>
</file>

<file path=xl/tables/table7.xml><?xml version="1.0" encoding="utf-8"?>
<table xmlns="http://schemas.openxmlformats.org/spreadsheetml/2006/main" id="7" name="Phase4_Table" displayName="Phase4_Table" ref="A1:O51" totalsRowShown="0" headerRowDxfId="169" dataDxfId="167" headerRowBorderDxfId="168" tableBorderDxfId="166" totalsRowBorderDxfId="165">
  <autoFilter ref="A1:O51"/>
  <sortState ref="A2:H51">
    <sortCondition ref="A1:A51"/>
  </sortState>
  <tableColumns count="15">
    <tableColumn id="1" name="Guild Member" dataDxfId="164"/>
    <tableColumn id="2" name="Ally Code" dataDxfId="163"/>
    <tableColumn id="13" name="Character GP" dataDxfId="5"/>
    <tableColumn id="12" name="Ship GP" dataDxfId="4"/>
    <tableColumn id="3" name="Territory Points" dataDxfId="162"/>
    <tableColumn id="14" name="Available GP" dataDxfId="3"/>
    <tableColumn id="4" name="GP Deployed" dataDxfId="161"/>
    <tableColumn id="9" name="Combat Missions Attempted" dataDxfId="160"/>
    <tableColumn id="5" name="Combat Waves Completed" dataDxfId="159"/>
    <tableColumn id="6" name="CM Points" dataDxfId="158"/>
    <tableColumn id="7" name="Special Missions Attempted" dataDxfId="157"/>
    <tableColumn id="10" name="SM Success" dataDxfId="156"/>
    <tableColumn id="8" name="Platoons Donated" dataDxfId="155"/>
    <tableColumn id="15" name="Platoons Assigned" dataDxfId="154"/>
    <tableColumn id="11" name="Rogue Action" dataDxfId="153"/>
  </tableColumns>
  <tableStyleInfo name="TableStyleMedium15" showFirstColumn="0" showLastColumn="0" showRowStripes="1" showColumnStripes="0"/>
</table>
</file>

<file path=xl/tables/table8.xml><?xml version="1.0" encoding="utf-8"?>
<table xmlns="http://schemas.openxmlformats.org/spreadsheetml/2006/main" id="8" name="Phase5_Table" displayName="Phase5_Table" ref="A1:O51" totalsRowShown="0" headerRowDxfId="152" dataDxfId="150" headerRowBorderDxfId="151" tableBorderDxfId="149" totalsRowBorderDxfId="148">
  <autoFilter ref="A1:O51"/>
  <sortState ref="A2:H51">
    <sortCondition ref="A1:A51"/>
  </sortState>
  <tableColumns count="15">
    <tableColumn id="1" name="Guild Member" dataDxfId="147"/>
    <tableColumn id="2" name="Ally Code" dataDxfId="146"/>
    <tableColumn id="13" name="Character GP" dataDxfId="145"/>
    <tableColumn id="12" name="Ship GP" dataDxfId="144"/>
    <tableColumn id="3" name="Territory Points" dataDxfId="143"/>
    <tableColumn id="14" name="Available GP" dataDxfId="142"/>
    <tableColumn id="4" name="GP Deployed" dataDxfId="141"/>
    <tableColumn id="9" name="Combat Missions Attempted" dataDxfId="140"/>
    <tableColumn id="5" name="Combat Waves Completed" dataDxfId="139"/>
    <tableColumn id="6" name="CM Points" dataDxfId="138"/>
    <tableColumn id="7" name="Special Missions Attempted" dataDxfId="137"/>
    <tableColumn id="10" name="SM Success" dataDxfId="136"/>
    <tableColumn id="8" name="Platoons Donated" dataDxfId="135"/>
    <tableColumn id="15" name="Platoons Assigned" dataDxfId="134"/>
    <tableColumn id="11" name="Rogue Action" dataDxfId="133"/>
  </tableColumns>
  <tableStyleInfo name="TableStyleMedium15" showFirstColumn="0" showLastColumn="0" showRowStripes="1" showColumnStripes="0"/>
</table>
</file>

<file path=xl/tables/table9.xml><?xml version="1.0" encoding="utf-8"?>
<table xmlns="http://schemas.openxmlformats.org/spreadsheetml/2006/main" id="9" name="Phase6_Table" displayName="Phase6_Table" ref="A1:O51" totalsRowShown="0" headerRowDxfId="132" dataDxfId="130" headerRowBorderDxfId="131" tableBorderDxfId="129" totalsRowBorderDxfId="128">
  <autoFilter ref="A1:O51"/>
  <sortState ref="A2:H51">
    <sortCondition ref="A1:A51"/>
  </sortState>
  <tableColumns count="15">
    <tableColumn id="1" name="Guild Member" dataDxfId="127"/>
    <tableColumn id="2" name="Ally Code" dataDxfId="126"/>
    <tableColumn id="13" name="Character GP" dataDxfId="125"/>
    <tableColumn id="12" name="Ship GP" dataDxfId="124"/>
    <tableColumn id="3" name="Territory Points" dataDxfId="123"/>
    <tableColumn id="14" name="Available GP" dataDxfId="122"/>
    <tableColumn id="4" name="GP Deployed" dataDxfId="121"/>
    <tableColumn id="9" name="Combat Missions Attempted" dataDxfId="120"/>
    <tableColumn id="5" name="Combat Waves Completed" dataDxfId="119"/>
    <tableColumn id="6" name="CM Points" dataDxfId="118"/>
    <tableColumn id="7" name="Special Missions Attempted" dataDxfId="117"/>
    <tableColumn id="10" name="SM Success" dataDxfId="116"/>
    <tableColumn id="8" name="Platoons Donated" dataDxfId="115"/>
    <tableColumn id="15" name="Platoons Assigned" dataDxfId="114"/>
    <tableColumn id="11" name="Rogue Action" dataDxfId="113"/>
  </tableColumns>
  <tableStyleInfo name="TableStyleMedium15" showFirstColumn="0" showLastColumn="0" showRowStripes="1" showColumnStripes="0"/>
</table>
</file>

<file path=xl/tables/table10.xml><?xml version="1.0" encoding="utf-8"?>
<table xmlns="http://schemas.openxmlformats.org/spreadsheetml/2006/main" id="10" name="TBHistoryTable" displayName="TBHistoryTable" ref="A2:BX52" totalsRowShown="0" headerRowDxfId="112" headerRowBorderDxfId="111" tableBorderDxfId="110" totalsRowBorderDxfId="109">
  <autoFilter ref="A2:BX52"/>
  <tableColumns count="76">
    <tableColumn id="1" name="Guild Member" dataDxfId="108"/>
    <tableColumn id="61" name="Allycode" dataDxfId="107"/>
    <tableColumn id="66" name="Character GP" dataDxfId="106"/>
    <tableColumn id="2" name="Ship GP" dataDxfId="105"/>
    <tableColumn id="3" name="Territory Points" dataDxfId="104" dataCellStyle="Comma"/>
    <tableColumn id="67" name="Max Available GP" dataDxfId="11" dataCellStyle="Comma"/>
    <tableColumn id="70" name="Actual GP Deployed" dataDxfId="10" dataCellStyle="Comma"/>
    <tableColumn id="4" name="Platoons" dataDxfId="103"/>
    <tableColumn id="5" name="Platoons Assigned"/>
    <tableColumn id="6" name="Combat Waves Completed" dataDxfId="102"/>
    <tableColumn id="7" name="Combat Mssion Points" dataDxfId="9" dataCellStyle="Comma"/>
    <tableColumn id="8" name="Special Missions" dataDxfId="8"/>
    <tableColumn id="9" name="Special Mission Success" dataDxfId="7"/>
    <tableColumn id="68" name="Rogue Actions" dataDxfId="101"/>
    <tableColumn id="69" name="Exclusive Unit Mission Attempt" dataDxfId="100"/>
    <tableColumn id="10" name="Exclusive Unit Mission Success" dataDxfId="99"/>
    <tableColumn id="11" name="Total Points P1" dataDxfId="98" dataCellStyle="Comma"/>
    <tableColumn id="76" name="Available GP P1" dataDxfId="6" dataCellStyle="Comma"/>
    <tableColumn id="12" name="GP Deployed P1" dataDxfId="97" dataCellStyle="Comma"/>
    <tableColumn id="13" name="CM Attempts P1" dataDxfId="96"/>
    <tableColumn id="47" name="CM Waves Completed P1" dataDxfId="95"/>
    <tableColumn id="14" name="CM Points P1" dataDxfId="94" dataCellStyle="Comma"/>
    <tableColumn id="15" name="SM Attempts P1" dataDxfId="93"/>
    <tableColumn id="48" name="SM Success P1" dataDxfId="92"/>
    <tableColumn id="16" name="Platoons Donated P1" dataDxfId="91"/>
    <tableColumn id="59" name="Rogue Action P1" dataDxfId="90"/>
    <tableColumn id="17" name="Total Points P2" dataDxfId="89" dataCellStyle="Comma"/>
    <tableColumn id="75" name="Available GP P2" dataDxfId="88" dataCellStyle="Comma"/>
    <tableColumn id="18" name="GP Deployed P2" dataDxfId="87" dataCellStyle="Comma"/>
    <tableColumn id="19" name="CM Attempts P2" dataDxfId="86"/>
    <tableColumn id="49" name="CM Waves Completed P2" dataDxfId="85"/>
    <tableColumn id="20" name="CM Points P2" dataDxfId="84" dataCellStyle="Comma"/>
    <tableColumn id="21" name="SM Attempts P2" dataDxfId="83"/>
    <tableColumn id="50" name="SM Success P2" dataDxfId="82"/>
    <tableColumn id="22" name="Platoons Donated P2" dataDxfId="81"/>
    <tableColumn id="60" name="Rogue Action P2" dataDxfId="80"/>
    <tableColumn id="23" name="Total Points P3" dataDxfId="79" dataCellStyle="Comma"/>
    <tableColumn id="74" name="Available GP P3" dataDxfId="78" dataCellStyle="Comma"/>
    <tableColumn id="24" name="GP Deployed P3" dataDxfId="77" dataCellStyle="Comma"/>
    <tableColumn id="25" name="CM Attempts P3" dataDxfId="76"/>
    <tableColumn id="51" name="CM Waves Completed P3" dataDxfId="75"/>
    <tableColumn id="26" name="CM Points P3" dataDxfId="74" dataCellStyle="Comma"/>
    <tableColumn id="27" name="SM Attempts P3" dataDxfId="73"/>
    <tableColumn id="52" name="SM Success P3" dataDxfId="72"/>
    <tableColumn id="65" name="Platoons Donated P3" dataDxfId="71"/>
    <tableColumn id="28" name="Rogue Action P3" dataDxfId="70"/>
    <tableColumn id="29" name="Total Points P4" dataDxfId="69" dataCellStyle="Comma"/>
    <tableColumn id="73" name="Available GP P4" dataDxfId="68" dataCellStyle="Comma"/>
    <tableColumn id="30" name="GP Deployed P4" dataDxfId="67" dataCellStyle="Comma"/>
    <tableColumn id="31" name="CM Attempts P4" dataDxfId="66"/>
    <tableColumn id="53" name="CM Waves Completed P4" dataDxfId="2"/>
    <tableColumn id="32" name="CM Points P4" dataDxfId="65" dataCellStyle="Comma"/>
    <tableColumn id="33" name="SM Attempts P4" dataDxfId="64"/>
    <tableColumn id="54" name="SM Success P4" dataDxfId="63"/>
    <tableColumn id="64" name="Platoons Donated P4" dataDxfId="1"/>
    <tableColumn id="34" name="Rogue Action P4" dataDxfId="0"/>
    <tableColumn id="35" name="Total Points P5" dataDxfId="62"/>
    <tableColumn id="72" name="Available GP P5" dataDxfId="61"/>
    <tableColumn id="36" name="GP Deployed P5" dataDxfId="60"/>
    <tableColumn id="37" name="CM Attempts P5" dataDxfId="59"/>
    <tableColumn id="55" name="CM Waves Completed P5" dataDxfId="58"/>
    <tableColumn id="38" name="CM Points P5" dataDxfId="57"/>
    <tableColumn id="39" name="SM Attempts P5" dataDxfId="56"/>
    <tableColumn id="56" name="SM Success P5" dataDxfId="55"/>
    <tableColumn id="63" name="Platoons Donated P5" dataDxfId="54"/>
    <tableColumn id="40" name="Rogue Action P5" dataDxfId="53"/>
    <tableColumn id="41" name="Total Points P6" dataDxfId="52"/>
    <tableColumn id="71" name="Available GP P6" dataDxfId="51"/>
    <tableColumn id="42" name="GP Deployed P6" dataDxfId="50"/>
    <tableColumn id="43" name="CM Attempts P6" dataDxfId="49"/>
    <tableColumn id="58" name="CM Waves Completed P6" dataDxfId="48"/>
    <tableColumn id="44" name="CM Points P6" dataDxfId="47"/>
    <tableColumn id="45" name="SM Attempts P6" dataDxfId="46"/>
    <tableColumn id="57" name="SM Success P6" dataDxfId="45"/>
    <tableColumn id="62" name="Platoons Donated P6" dataDxfId="44"/>
    <tableColumn id="46" name="Rogue Action P6" dataDxfId="4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V37"/>
  <sheetViews>
    <sheetView tabSelected="1" workbookViewId="0">
      <selection activeCell="B30" sqref="B30:E30"/>
    </sheetView>
  </sheetViews>
  <sheetFormatPr defaultRowHeight="14.4" x14ac:dyDescent="0.3"/>
  <cols>
    <col min="1" max="1" width="3.77734375" customWidth="1"/>
    <col min="12" max="12" width="27.33203125" customWidth="1"/>
  </cols>
  <sheetData>
    <row r="1" spans="1:22" ht="25.8" x14ac:dyDescent="0.5">
      <c r="A1" s="54"/>
      <c r="B1" s="55" t="s">
        <v>0</v>
      </c>
      <c r="C1" s="56"/>
      <c r="D1" s="56"/>
      <c r="E1" s="56"/>
      <c r="F1" s="56"/>
      <c r="G1" s="56"/>
      <c r="H1" s="54"/>
      <c r="I1" s="54"/>
      <c r="J1" s="54"/>
      <c r="K1" s="54"/>
      <c r="L1" s="54"/>
      <c r="M1" s="54"/>
      <c r="N1" s="54"/>
      <c r="O1" s="54"/>
      <c r="P1" s="54"/>
      <c r="Q1" s="54"/>
      <c r="R1" s="54"/>
      <c r="S1" s="54"/>
      <c r="T1" s="54"/>
      <c r="U1" s="54"/>
      <c r="V1" s="54"/>
    </row>
    <row r="2" spans="1:22" x14ac:dyDescent="0.3">
      <c r="A2" s="54"/>
      <c r="B2" s="203" t="s">
        <v>1</v>
      </c>
      <c r="C2" s="203"/>
      <c r="D2" s="203"/>
      <c r="E2" s="203"/>
      <c r="F2" s="203"/>
      <c r="G2" s="203"/>
      <c r="H2" s="54"/>
      <c r="I2" s="54"/>
      <c r="J2" s="54"/>
      <c r="K2" s="54"/>
      <c r="L2" s="54"/>
      <c r="M2" s="54"/>
      <c r="N2" s="54"/>
      <c r="O2" s="54"/>
      <c r="P2" s="54"/>
      <c r="Q2" s="54"/>
      <c r="R2" s="54"/>
      <c r="S2" s="54"/>
      <c r="T2" s="54"/>
      <c r="U2" s="54"/>
      <c r="V2" s="54"/>
    </row>
    <row r="3" spans="1:22" ht="15" thickBot="1" x14ac:dyDescent="0.35">
      <c r="A3" s="54"/>
      <c r="B3" s="57"/>
      <c r="C3" s="57"/>
      <c r="D3" s="57"/>
      <c r="E3" s="57"/>
      <c r="F3" s="57"/>
      <c r="G3" s="57"/>
      <c r="H3" s="54"/>
      <c r="I3" s="54"/>
      <c r="J3" s="54"/>
      <c r="K3" s="54"/>
      <c r="L3" s="54"/>
      <c r="M3" s="54"/>
      <c r="N3" s="54"/>
      <c r="O3" s="54"/>
      <c r="P3" s="54"/>
      <c r="Q3" s="54"/>
      <c r="R3" s="54"/>
      <c r="S3" s="54"/>
      <c r="T3" s="54"/>
      <c r="U3" s="54"/>
      <c r="V3" s="54"/>
    </row>
    <row r="4" spans="1:22" ht="19.2" thickTop="1" thickBot="1" x14ac:dyDescent="0.4">
      <c r="A4" s="54"/>
      <c r="B4" s="204" t="s">
        <v>2</v>
      </c>
      <c r="C4" s="205"/>
      <c r="D4" s="205"/>
      <c r="E4" s="205"/>
      <c r="F4" s="205"/>
      <c r="G4" s="205"/>
      <c r="H4" s="205"/>
      <c r="I4" s="205"/>
      <c r="J4" s="205"/>
      <c r="K4" s="205"/>
      <c r="L4" s="206"/>
      <c r="M4" s="54"/>
      <c r="N4" s="54"/>
      <c r="O4" s="54"/>
      <c r="P4" s="54"/>
      <c r="Q4" s="54"/>
      <c r="R4" s="54"/>
      <c r="S4" s="54"/>
      <c r="T4" s="54"/>
      <c r="U4" s="54"/>
      <c r="V4" s="54"/>
    </row>
    <row r="5" spans="1:22" ht="16.8" customHeight="1" x14ac:dyDescent="0.3">
      <c r="A5" s="54"/>
      <c r="B5" s="207" t="s">
        <v>3</v>
      </c>
      <c r="C5" s="208"/>
      <c r="D5" s="208"/>
      <c r="E5" s="208"/>
      <c r="F5" s="208"/>
      <c r="G5" s="208"/>
      <c r="H5" s="208"/>
      <c r="I5" s="208"/>
      <c r="J5" s="208"/>
      <c r="K5" s="208"/>
      <c r="L5" s="209"/>
      <c r="M5" s="54"/>
      <c r="N5" s="54"/>
      <c r="O5" s="54"/>
      <c r="P5" s="54"/>
      <c r="Q5" s="54"/>
      <c r="R5" s="54"/>
      <c r="S5" s="54"/>
      <c r="T5" s="54"/>
      <c r="U5" s="54"/>
      <c r="V5" s="54"/>
    </row>
    <row r="6" spans="1:22" x14ac:dyDescent="0.3">
      <c r="A6" s="54"/>
      <c r="B6" s="49"/>
      <c r="C6" s="210" t="s">
        <v>4</v>
      </c>
      <c r="D6" s="210"/>
      <c r="E6" s="210"/>
      <c r="F6" s="210"/>
      <c r="G6" s="210"/>
      <c r="H6" s="210"/>
      <c r="I6" s="210"/>
      <c r="J6" s="210"/>
      <c r="K6" s="210"/>
      <c r="L6" s="211"/>
      <c r="M6" s="54"/>
      <c r="N6" s="54"/>
      <c r="O6" s="54"/>
      <c r="P6" s="54"/>
      <c r="Q6" s="54"/>
      <c r="R6" s="54"/>
      <c r="S6" s="54"/>
      <c r="T6" s="54"/>
      <c r="U6" s="54"/>
      <c r="V6" s="54"/>
    </row>
    <row r="7" spans="1:22" ht="28.8" customHeight="1" x14ac:dyDescent="0.3">
      <c r="A7" s="54"/>
      <c r="B7" s="50"/>
      <c r="C7" s="212" t="s">
        <v>5</v>
      </c>
      <c r="D7" s="212"/>
      <c r="E7" s="212"/>
      <c r="F7" s="212"/>
      <c r="G7" s="212"/>
      <c r="H7" s="212"/>
      <c r="I7" s="212"/>
      <c r="J7" s="212"/>
      <c r="K7" s="212"/>
      <c r="L7" s="213"/>
      <c r="M7" s="54"/>
      <c r="N7" s="54"/>
      <c r="O7" s="54"/>
      <c r="P7" s="54"/>
      <c r="Q7" s="54"/>
      <c r="R7" s="54"/>
      <c r="S7" s="54"/>
      <c r="T7" s="54"/>
      <c r="U7" s="54"/>
      <c r="V7" s="54"/>
    </row>
    <row r="8" spans="1:22" x14ac:dyDescent="0.3">
      <c r="A8" s="54"/>
      <c r="B8" s="51"/>
      <c r="C8" s="210" t="s">
        <v>6</v>
      </c>
      <c r="D8" s="210"/>
      <c r="E8" s="210"/>
      <c r="F8" s="210"/>
      <c r="G8" s="210"/>
      <c r="H8" s="210"/>
      <c r="I8" s="210"/>
      <c r="J8" s="210"/>
      <c r="K8" s="210"/>
      <c r="L8" s="211"/>
      <c r="M8" s="54"/>
      <c r="N8" s="54"/>
      <c r="O8" s="54"/>
      <c r="P8" s="54"/>
      <c r="Q8" s="54"/>
      <c r="R8" s="54"/>
      <c r="S8" s="54"/>
      <c r="T8" s="54"/>
      <c r="U8" s="54"/>
      <c r="V8" s="54"/>
    </row>
    <row r="9" spans="1:22" x14ac:dyDescent="0.3">
      <c r="A9" s="54"/>
      <c r="B9" s="52"/>
      <c r="C9" s="214" t="s">
        <v>7</v>
      </c>
      <c r="D9" s="214"/>
      <c r="E9" s="214"/>
      <c r="F9" s="214"/>
      <c r="G9" s="214"/>
      <c r="H9" s="214"/>
      <c r="I9" s="214"/>
      <c r="J9" s="214"/>
      <c r="K9" s="214"/>
      <c r="L9" s="215"/>
      <c r="M9" s="54"/>
      <c r="N9" s="54"/>
      <c r="O9" s="54"/>
      <c r="P9" s="54"/>
      <c r="Q9" s="54"/>
      <c r="R9" s="54"/>
      <c r="S9" s="54"/>
      <c r="T9" s="54"/>
      <c r="U9" s="54"/>
      <c r="V9" s="54"/>
    </row>
    <row r="10" spans="1:22" ht="28.8" customHeight="1" thickBot="1" x14ac:dyDescent="0.35">
      <c r="A10" s="54"/>
      <c r="B10" s="216" t="s">
        <v>160</v>
      </c>
      <c r="C10" s="217"/>
      <c r="D10" s="217"/>
      <c r="E10" s="217"/>
      <c r="F10" s="217"/>
      <c r="G10" s="217"/>
      <c r="H10" s="217"/>
      <c r="I10" s="217"/>
      <c r="J10" s="217"/>
      <c r="K10" s="217"/>
      <c r="L10" s="218"/>
      <c r="M10" s="54"/>
      <c r="N10" s="54"/>
      <c r="O10" s="54"/>
      <c r="P10" s="54"/>
      <c r="Q10" s="54"/>
      <c r="R10" s="54"/>
      <c r="S10" s="54"/>
      <c r="T10" s="54"/>
      <c r="U10" s="54"/>
      <c r="V10" s="54"/>
    </row>
    <row r="11" spans="1:22" ht="15.6" thickTop="1" thickBot="1" x14ac:dyDescent="0.35">
      <c r="A11" s="54"/>
      <c r="B11" s="54"/>
      <c r="C11" s="54"/>
      <c r="D11" s="54"/>
      <c r="E11" s="54"/>
      <c r="F11" s="54"/>
      <c r="G11" s="54"/>
      <c r="H11" s="54"/>
      <c r="I11" s="54"/>
      <c r="J11" s="54"/>
      <c r="K11" s="54"/>
      <c r="L11" s="54"/>
      <c r="M11" s="54"/>
      <c r="N11" s="54"/>
      <c r="O11" s="54"/>
      <c r="P11" s="54"/>
      <c r="Q11" s="54"/>
      <c r="R11" s="54"/>
      <c r="S11" s="54"/>
      <c r="T11" s="54"/>
      <c r="U11" s="54"/>
      <c r="V11" s="54"/>
    </row>
    <row r="12" spans="1:22" ht="19.2" thickTop="1" thickBot="1" x14ac:dyDescent="0.4">
      <c r="A12" s="54"/>
      <c r="B12" s="219" t="s">
        <v>8</v>
      </c>
      <c r="C12" s="220"/>
      <c r="D12" s="220"/>
      <c r="E12" s="220"/>
      <c r="F12" s="220"/>
      <c r="G12" s="220"/>
      <c r="H12" s="220"/>
      <c r="I12" s="220"/>
      <c r="J12" s="220"/>
      <c r="K12" s="220"/>
      <c r="L12" s="221"/>
      <c r="M12" s="54"/>
      <c r="N12" s="54"/>
      <c r="O12" s="54"/>
      <c r="P12" s="54"/>
      <c r="Q12" s="54"/>
      <c r="R12" s="54"/>
      <c r="S12" s="54"/>
      <c r="T12" s="54"/>
      <c r="U12" s="54"/>
      <c r="V12" s="54"/>
    </row>
    <row r="13" spans="1:22" s="1" customFormat="1" ht="14.4" customHeight="1" x14ac:dyDescent="0.3">
      <c r="A13" s="58"/>
      <c r="B13" s="222" t="s">
        <v>9</v>
      </c>
      <c r="C13" s="223"/>
      <c r="D13" s="223"/>
      <c r="E13" s="223"/>
      <c r="F13" s="223"/>
      <c r="G13" s="223"/>
      <c r="H13" s="223"/>
      <c r="I13" s="223"/>
      <c r="J13" s="223"/>
      <c r="K13" s="223"/>
      <c r="L13" s="224"/>
      <c r="M13" s="58"/>
      <c r="N13" s="58"/>
      <c r="O13" s="58"/>
      <c r="P13" s="58"/>
      <c r="Q13" s="58"/>
      <c r="R13" s="58"/>
      <c r="S13" s="58"/>
      <c r="T13" s="58"/>
      <c r="U13" s="58"/>
      <c r="V13" s="58"/>
    </row>
    <row r="14" spans="1:22" s="1" customFormat="1" ht="14.4" customHeight="1" x14ac:dyDescent="0.3">
      <c r="A14" s="58"/>
      <c r="B14" s="225" t="s">
        <v>10</v>
      </c>
      <c r="C14" s="226"/>
      <c r="D14" s="226"/>
      <c r="E14" s="226"/>
      <c r="F14" s="226"/>
      <c r="G14" s="226"/>
      <c r="H14" s="226"/>
      <c r="I14" s="226"/>
      <c r="J14" s="226"/>
      <c r="K14" s="226"/>
      <c r="L14" s="227"/>
      <c r="M14" s="58"/>
      <c r="N14" s="58"/>
      <c r="O14" s="58"/>
      <c r="P14" s="58"/>
      <c r="Q14" s="58"/>
      <c r="R14" s="58"/>
      <c r="S14" s="58"/>
      <c r="T14" s="58"/>
      <c r="U14" s="58"/>
      <c r="V14" s="58"/>
    </row>
    <row r="15" spans="1:22" s="1" customFormat="1" ht="14.4" customHeight="1" x14ac:dyDescent="0.3">
      <c r="A15" s="58"/>
      <c r="B15" s="200" t="s">
        <v>11</v>
      </c>
      <c r="C15" s="201"/>
      <c r="D15" s="201"/>
      <c r="E15" s="201"/>
      <c r="F15" s="201"/>
      <c r="G15" s="201"/>
      <c r="H15" s="201"/>
      <c r="I15" s="201"/>
      <c r="J15" s="201"/>
      <c r="K15" s="201"/>
      <c r="L15" s="202"/>
      <c r="M15" s="58"/>
      <c r="N15" s="58"/>
      <c r="O15" s="58"/>
      <c r="P15" s="58"/>
      <c r="Q15" s="58"/>
      <c r="R15" s="58"/>
      <c r="S15" s="58"/>
      <c r="T15" s="58"/>
      <c r="U15" s="58"/>
      <c r="V15" s="58"/>
    </row>
    <row r="16" spans="1:22" s="1" customFormat="1" ht="14.4" customHeight="1" x14ac:dyDescent="0.3">
      <c r="A16" s="58"/>
      <c r="B16" s="173" t="s">
        <v>161</v>
      </c>
      <c r="C16" s="174"/>
      <c r="D16" s="174"/>
      <c r="E16" s="174"/>
      <c r="F16" s="174"/>
      <c r="G16" s="174"/>
      <c r="H16" s="174"/>
      <c r="I16" s="174"/>
      <c r="J16" s="174"/>
      <c r="K16" s="174"/>
      <c r="L16" s="175"/>
      <c r="M16" s="58"/>
      <c r="N16" s="58"/>
      <c r="O16" s="58"/>
      <c r="P16" s="58"/>
      <c r="Q16" s="58"/>
      <c r="R16" s="58"/>
      <c r="S16" s="58"/>
      <c r="T16" s="58"/>
      <c r="U16" s="58"/>
      <c r="V16" s="58"/>
    </row>
    <row r="17" spans="1:22" s="1" customFormat="1" ht="14.4" customHeight="1" x14ac:dyDescent="0.3">
      <c r="A17" s="58"/>
      <c r="B17" s="176" t="s">
        <v>12</v>
      </c>
      <c r="C17" s="177"/>
      <c r="D17" s="177"/>
      <c r="E17" s="177"/>
      <c r="F17" s="177"/>
      <c r="G17" s="177"/>
      <c r="H17" s="177"/>
      <c r="I17" s="177"/>
      <c r="J17" s="177"/>
      <c r="K17" s="177"/>
      <c r="L17" s="178"/>
      <c r="M17" s="58"/>
      <c r="N17" s="58"/>
      <c r="O17" s="58"/>
      <c r="P17" s="58"/>
      <c r="Q17" s="58"/>
      <c r="R17" s="58"/>
      <c r="S17" s="58"/>
      <c r="T17" s="58"/>
      <c r="U17" s="58"/>
      <c r="V17" s="58"/>
    </row>
    <row r="18" spans="1:22" s="1" customFormat="1" ht="14.4" customHeight="1" x14ac:dyDescent="0.3">
      <c r="A18" s="58"/>
      <c r="B18" s="173" t="s">
        <v>13</v>
      </c>
      <c r="C18" s="174"/>
      <c r="D18" s="174"/>
      <c r="E18" s="174"/>
      <c r="F18" s="174"/>
      <c r="G18" s="174"/>
      <c r="H18" s="174"/>
      <c r="I18" s="174"/>
      <c r="J18" s="174"/>
      <c r="K18" s="174"/>
      <c r="L18" s="175"/>
      <c r="M18" s="58"/>
      <c r="N18" s="58"/>
      <c r="O18" s="58"/>
      <c r="P18" s="58"/>
      <c r="Q18" s="58"/>
      <c r="R18" s="58"/>
      <c r="S18" s="58"/>
      <c r="T18" s="58"/>
      <c r="U18" s="58"/>
      <c r="V18" s="58"/>
    </row>
    <row r="19" spans="1:22" s="1" customFormat="1" ht="14.4" customHeight="1" x14ac:dyDescent="0.3">
      <c r="A19" s="58"/>
      <c r="B19" s="179" t="s">
        <v>14</v>
      </c>
      <c r="C19" s="180"/>
      <c r="D19" s="180"/>
      <c r="E19" s="180"/>
      <c r="F19" s="180"/>
      <c r="G19" s="180"/>
      <c r="H19" s="180"/>
      <c r="I19" s="180"/>
      <c r="J19" s="180"/>
      <c r="K19" s="180"/>
      <c r="L19" s="181"/>
      <c r="M19" s="58"/>
      <c r="N19" s="58"/>
      <c r="O19" s="58"/>
      <c r="P19" s="58"/>
      <c r="Q19" s="58"/>
      <c r="R19" s="58"/>
      <c r="S19" s="58"/>
      <c r="T19" s="58"/>
      <c r="U19" s="58"/>
      <c r="V19" s="58"/>
    </row>
    <row r="20" spans="1:22" s="1" customFormat="1" ht="14.4" customHeight="1" x14ac:dyDescent="0.3">
      <c r="A20" s="58"/>
      <c r="B20" s="182" t="s">
        <v>15</v>
      </c>
      <c r="C20" s="183"/>
      <c r="D20" s="183"/>
      <c r="E20" s="183"/>
      <c r="F20" s="183"/>
      <c r="G20" s="183"/>
      <c r="H20" s="183"/>
      <c r="I20" s="183"/>
      <c r="J20" s="183"/>
      <c r="K20" s="183"/>
      <c r="L20" s="184"/>
      <c r="M20" s="58"/>
      <c r="N20" s="58"/>
      <c r="O20" s="58"/>
      <c r="P20" s="58"/>
      <c r="Q20" s="58"/>
      <c r="R20" s="58"/>
      <c r="S20" s="58"/>
      <c r="T20" s="58"/>
      <c r="U20" s="58"/>
      <c r="V20" s="58"/>
    </row>
    <row r="21" spans="1:22" s="1" customFormat="1" ht="14.4" customHeight="1" x14ac:dyDescent="0.3">
      <c r="A21" s="58"/>
      <c r="B21" s="185" t="s">
        <v>16</v>
      </c>
      <c r="C21" s="186"/>
      <c r="D21" s="186"/>
      <c r="E21" s="186"/>
      <c r="F21" s="186"/>
      <c r="G21" s="186"/>
      <c r="H21" s="186"/>
      <c r="I21" s="186"/>
      <c r="J21" s="186"/>
      <c r="K21" s="186"/>
      <c r="L21" s="187"/>
      <c r="M21" s="58"/>
      <c r="N21" s="58"/>
      <c r="O21" s="58"/>
      <c r="P21" s="58"/>
      <c r="Q21" s="58"/>
      <c r="R21" s="58"/>
      <c r="S21" s="58"/>
      <c r="T21" s="58"/>
      <c r="U21" s="58"/>
      <c r="V21" s="58"/>
    </row>
    <row r="22" spans="1:22" s="1" customFormat="1" ht="30" customHeight="1" x14ac:dyDescent="0.3">
      <c r="A22" s="58"/>
      <c r="B22" s="173" t="s">
        <v>17</v>
      </c>
      <c r="C22" s="174"/>
      <c r="D22" s="174"/>
      <c r="E22" s="174"/>
      <c r="F22" s="174"/>
      <c r="G22" s="174"/>
      <c r="H22" s="174"/>
      <c r="I22" s="174"/>
      <c r="J22" s="174"/>
      <c r="K22" s="174"/>
      <c r="L22" s="175"/>
      <c r="M22" s="58"/>
      <c r="N22" s="58"/>
      <c r="O22" s="58"/>
      <c r="P22" s="58"/>
      <c r="Q22" s="58"/>
      <c r="R22" s="58"/>
      <c r="S22" s="58"/>
      <c r="T22" s="58"/>
      <c r="U22" s="58"/>
      <c r="V22" s="58"/>
    </row>
    <row r="23" spans="1:22" s="1" customFormat="1" ht="45.6" customHeight="1" thickBot="1" x14ac:dyDescent="0.35">
      <c r="A23" s="58"/>
      <c r="B23" s="188" t="s">
        <v>18</v>
      </c>
      <c r="C23" s="189"/>
      <c r="D23" s="189"/>
      <c r="E23" s="189"/>
      <c r="F23" s="189"/>
      <c r="G23" s="189"/>
      <c r="H23" s="189"/>
      <c r="I23" s="189"/>
      <c r="J23" s="189"/>
      <c r="K23" s="189"/>
      <c r="L23" s="190"/>
      <c r="M23" s="58"/>
      <c r="N23" s="58"/>
      <c r="O23" s="58"/>
      <c r="P23" s="58"/>
      <c r="Q23" s="58"/>
      <c r="R23" s="58"/>
      <c r="S23" s="58"/>
      <c r="T23" s="58"/>
      <c r="U23" s="58"/>
      <c r="V23" s="58"/>
    </row>
    <row r="24" spans="1:22" ht="19.2" thickTop="1" thickBot="1" x14ac:dyDescent="0.4">
      <c r="A24" s="54"/>
      <c r="B24" s="191" t="s">
        <v>19</v>
      </c>
      <c r="C24" s="192"/>
      <c r="D24" s="192"/>
      <c r="E24" s="192"/>
      <c r="F24" s="192"/>
      <c r="G24" s="192"/>
      <c r="H24" s="192"/>
      <c r="I24" s="192"/>
      <c r="J24" s="192"/>
      <c r="K24" s="192"/>
      <c r="L24" s="193"/>
      <c r="M24" s="54"/>
      <c r="N24" s="54"/>
      <c r="O24" s="54"/>
      <c r="P24" s="54"/>
      <c r="Q24" s="54"/>
      <c r="R24" s="54"/>
      <c r="S24" s="54"/>
      <c r="T24" s="54"/>
      <c r="U24" s="54"/>
      <c r="V24" s="54"/>
    </row>
    <row r="25" spans="1:22" s="1" customFormat="1" ht="54.6" customHeight="1" thickTop="1" x14ac:dyDescent="0.3">
      <c r="A25" s="58"/>
      <c r="B25" s="194" t="s">
        <v>20</v>
      </c>
      <c r="C25" s="195"/>
      <c r="D25" s="195"/>
      <c r="E25" s="195"/>
      <c r="F25" s="195"/>
      <c r="G25" s="195"/>
      <c r="H25" s="195"/>
      <c r="I25" s="195"/>
      <c r="J25" s="195"/>
      <c r="K25" s="195"/>
      <c r="L25" s="196"/>
      <c r="M25" s="58"/>
      <c r="N25" s="58"/>
      <c r="O25" s="58"/>
      <c r="P25" s="58"/>
      <c r="Q25" s="58"/>
      <c r="R25" s="58"/>
      <c r="S25" s="58"/>
      <c r="T25" s="58"/>
      <c r="U25" s="58"/>
      <c r="V25" s="58"/>
    </row>
    <row r="26" spans="1:22" x14ac:dyDescent="0.3">
      <c r="A26" s="54"/>
      <c r="B26" s="197" t="s">
        <v>21</v>
      </c>
      <c r="C26" s="198"/>
      <c r="D26" s="198"/>
      <c r="E26" s="198"/>
      <c r="F26" s="198"/>
      <c r="G26" s="198"/>
      <c r="H26" s="198"/>
      <c r="I26" s="198"/>
      <c r="J26" s="198"/>
      <c r="K26" s="198"/>
      <c r="L26" s="199"/>
      <c r="M26" s="54"/>
      <c r="N26" s="54"/>
      <c r="O26" s="54"/>
      <c r="P26" s="54"/>
      <c r="Q26" s="54"/>
      <c r="R26" s="54"/>
      <c r="S26" s="54"/>
      <c r="T26" s="54"/>
      <c r="U26" s="54"/>
      <c r="V26" s="54"/>
    </row>
    <row r="27" spans="1:22" x14ac:dyDescent="0.3">
      <c r="A27" s="54"/>
      <c r="B27" s="170" t="s">
        <v>22</v>
      </c>
      <c r="C27" s="171"/>
      <c r="D27" s="171"/>
      <c r="E27" s="171"/>
      <c r="F27" s="171"/>
      <c r="G27" s="171"/>
      <c r="H27" s="171"/>
      <c r="I27" s="171"/>
      <c r="J27" s="171"/>
      <c r="K27" s="171"/>
      <c r="L27" s="172"/>
      <c r="M27" s="54"/>
      <c r="N27" s="54"/>
      <c r="O27" s="54"/>
      <c r="P27" s="54"/>
      <c r="Q27" s="54"/>
      <c r="R27" s="54"/>
      <c r="S27" s="54"/>
      <c r="T27" s="54"/>
      <c r="U27" s="54"/>
      <c r="V27" s="54"/>
    </row>
    <row r="28" spans="1:22" ht="31.2" customHeight="1" thickBot="1" x14ac:dyDescent="0.35">
      <c r="A28" s="54"/>
      <c r="B28" s="154" t="s">
        <v>23</v>
      </c>
      <c r="C28" s="155"/>
      <c r="D28" s="155"/>
      <c r="E28" s="155"/>
      <c r="F28" s="155"/>
      <c r="G28" s="155"/>
      <c r="H28" s="155"/>
      <c r="I28" s="155"/>
      <c r="J28" s="155"/>
      <c r="K28" s="155"/>
      <c r="L28" s="156"/>
      <c r="M28" s="54"/>
      <c r="N28" s="54"/>
      <c r="O28" s="54"/>
      <c r="P28" s="54"/>
      <c r="Q28" s="54"/>
      <c r="R28" s="54"/>
      <c r="S28" s="54"/>
      <c r="T28" s="54"/>
      <c r="U28" s="54"/>
      <c r="V28" s="54"/>
    </row>
    <row r="29" spans="1:22" ht="15.6" thickTop="1" thickBot="1" x14ac:dyDescent="0.35">
      <c r="A29" s="54"/>
      <c r="B29" s="157"/>
      <c r="C29" s="157"/>
      <c r="D29" s="157"/>
      <c r="E29" s="157"/>
      <c r="F29" s="157"/>
      <c r="G29" s="157"/>
      <c r="H29" s="157"/>
      <c r="I29" s="157"/>
      <c r="J29" s="157"/>
      <c r="K29" s="157"/>
      <c r="L29" s="157"/>
      <c r="M29" s="54"/>
      <c r="N29" s="54"/>
      <c r="O29" s="54"/>
      <c r="P29" s="54"/>
      <c r="Q29" s="54"/>
      <c r="R29" s="54"/>
      <c r="S29" s="54"/>
      <c r="T29" s="54"/>
      <c r="U29" s="54"/>
      <c r="V29" s="54"/>
    </row>
    <row r="30" spans="1:22" ht="19.2" thickTop="1" thickBot="1" x14ac:dyDescent="0.4">
      <c r="A30" s="54"/>
      <c r="B30" s="158" t="s">
        <v>24</v>
      </c>
      <c r="C30" s="159"/>
      <c r="D30" s="159"/>
      <c r="E30" s="160"/>
      <c r="F30" s="59"/>
      <c r="G30" s="59"/>
      <c r="H30" s="59"/>
      <c r="I30" s="59"/>
      <c r="J30" s="59"/>
      <c r="K30" s="59"/>
      <c r="L30" s="59"/>
      <c r="M30" s="54"/>
      <c r="N30" s="54"/>
      <c r="O30" s="54"/>
      <c r="P30" s="54"/>
      <c r="Q30" s="54"/>
      <c r="R30" s="54"/>
      <c r="S30" s="54"/>
      <c r="T30" s="54"/>
      <c r="U30" s="54"/>
      <c r="V30" s="54"/>
    </row>
    <row r="31" spans="1:22" x14ac:dyDescent="0.3">
      <c r="A31" s="54"/>
      <c r="B31" s="161" t="s">
        <v>25</v>
      </c>
      <c r="C31" s="162"/>
      <c r="D31" s="162"/>
      <c r="E31" s="163"/>
      <c r="F31" s="54"/>
      <c r="G31" s="54"/>
      <c r="H31" s="54"/>
      <c r="I31" s="54"/>
      <c r="J31" s="54"/>
      <c r="K31" s="54"/>
      <c r="L31" s="54"/>
      <c r="M31" s="54"/>
      <c r="N31" s="54"/>
      <c r="O31" s="54"/>
      <c r="P31" s="54"/>
      <c r="Q31" s="54"/>
      <c r="R31" s="54"/>
      <c r="S31" s="54"/>
      <c r="T31" s="54"/>
      <c r="U31" s="54"/>
      <c r="V31" s="54"/>
    </row>
    <row r="32" spans="1:22" ht="15" thickBot="1" x14ac:dyDescent="0.35">
      <c r="A32" s="54"/>
      <c r="B32" s="164" t="s">
        <v>26</v>
      </c>
      <c r="C32" s="165"/>
      <c r="D32" s="165"/>
      <c r="E32" s="166"/>
      <c r="F32" s="54"/>
      <c r="G32" s="54"/>
      <c r="H32" s="54"/>
      <c r="I32" s="54"/>
      <c r="J32" s="54"/>
      <c r="K32" s="54"/>
      <c r="L32" s="54"/>
      <c r="M32" s="54"/>
      <c r="N32" s="54"/>
      <c r="O32" s="54"/>
      <c r="P32" s="54"/>
      <c r="Q32" s="54"/>
      <c r="R32" s="54"/>
      <c r="S32" s="54"/>
      <c r="T32" s="54"/>
      <c r="U32" s="54"/>
      <c r="V32" s="54"/>
    </row>
    <row r="33" spans="1:22" x14ac:dyDescent="0.3">
      <c r="A33" s="54"/>
      <c r="B33" s="167" t="s">
        <v>27</v>
      </c>
      <c r="C33" s="168"/>
      <c r="D33" s="168"/>
      <c r="E33" s="169"/>
      <c r="F33" s="60"/>
      <c r="G33" s="60"/>
      <c r="H33" s="60"/>
      <c r="I33" s="60"/>
      <c r="J33" s="60"/>
      <c r="K33" s="60"/>
      <c r="L33" s="60"/>
      <c r="M33" s="54"/>
      <c r="N33" s="54"/>
      <c r="O33" s="54"/>
      <c r="P33" s="54"/>
      <c r="Q33" s="54"/>
      <c r="R33" s="54"/>
      <c r="S33" s="54"/>
      <c r="T33" s="54"/>
      <c r="U33" s="54"/>
      <c r="V33" s="54"/>
    </row>
    <row r="34" spans="1:22" x14ac:dyDescent="0.3">
      <c r="A34" s="54"/>
      <c r="B34" s="148" t="s">
        <v>28</v>
      </c>
      <c r="C34" s="149"/>
      <c r="D34" s="149"/>
      <c r="E34" s="150"/>
      <c r="F34" s="54"/>
      <c r="G34" s="54"/>
      <c r="H34" s="54"/>
      <c r="I34" s="54"/>
      <c r="J34" s="54"/>
      <c r="K34" s="54"/>
      <c r="L34" s="54"/>
      <c r="M34" s="54"/>
      <c r="N34" s="54"/>
      <c r="O34" s="54"/>
      <c r="P34" s="54"/>
      <c r="Q34" s="54"/>
      <c r="R34" s="54"/>
      <c r="S34" s="54"/>
      <c r="T34" s="54"/>
      <c r="U34" s="54"/>
      <c r="V34" s="54"/>
    </row>
    <row r="35" spans="1:22" ht="15" thickBot="1" x14ac:dyDescent="0.35">
      <c r="A35" s="54"/>
      <c r="B35" s="151" t="s">
        <v>29</v>
      </c>
      <c r="C35" s="152"/>
      <c r="D35" s="152"/>
      <c r="E35" s="153"/>
      <c r="F35" s="54"/>
      <c r="G35" s="54"/>
      <c r="H35" s="54"/>
      <c r="I35" s="54"/>
      <c r="J35" s="54"/>
      <c r="K35" s="54"/>
      <c r="L35" s="54"/>
      <c r="M35" s="54"/>
      <c r="N35" s="54"/>
      <c r="O35" s="54"/>
      <c r="P35" s="54"/>
      <c r="Q35" s="54"/>
      <c r="R35" s="54"/>
      <c r="S35" s="54"/>
      <c r="T35" s="54"/>
      <c r="U35" s="54"/>
      <c r="V35" s="54"/>
    </row>
    <row r="36" spans="1:22" ht="15" thickTop="1"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4"/>
      <c r="B37" s="54"/>
      <c r="C37" s="54"/>
      <c r="D37" s="54"/>
      <c r="E37" s="54"/>
      <c r="F37" s="54"/>
      <c r="G37" s="54"/>
      <c r="H37" s="54"/>
      <c r="I37" s="54"/>
      <c r="J37" s="54"/>
      <c r="K37" s="54"/>
      <c r="L37" s="54"/>
      <c r="M37" s="54"/>
      <c r="N37" s="54"/>
      <c r="O37" s="54"/>
      <c r="P37" s="54"/>
      <c r="Q37" s="54"/>
      <c r="R37" s="54"/>
      <c r="S37" s="54"/>
      <c r="T37" s="54"/>
      <c r="U37" s="54"/>
      <c r="V37" s="54"/>
    </row>
  </sheetData>
  <mergeCells count="32">
    <mergeCell ref="B15:L15"/>
    <mergeCell ref="B2:G2"/>
    <mergeCell ref="B4:L4"/>
    <mergeCell ref="B5:L5"/>
    <mergeCell ref="C6:L6"/>
    <mergeCell ref="C7:L7"/>
    <mergeCell ref="C8:L8"/>
    <mergeCell ref="C9:L9"/>
    <mergeCell ref="B10:L10"/>
    <mergeCell ref="B12:L12"/>
    <mergeCell ref="B13:L13"/>
    <mergeCell ref="B14:L14"/>
    <mergeCell ref="B27:L27"/>
    <mergeCell ref="B16:L16"/>
    <mergeCell ref="B17:L17"/>
    <mergeCell ref="B18:L18"/>
    <mergeCell ref="B19:L19"/>
    <mergeCell ref="B20:L20"/>
    <mergeCell ref="B21:L21"/>
    <mergeCell ref="B22:L22"/>
    <mergeCell ref="B23:L23"/>
    <mergeCell ref="B24:L24"/>
    <mergeCell ref="B25:L25"/>
    <mergeCell ref="B26:L26"/>
    <mergeCell ref="B34:E34"/>
    <mergeCell ref="B35:E35"/>
    <mergeCell ref="B28:L28"/>
    <mergeCell ref="B29:L29"/>
    <mergeCell ref="B30:E30"/>
    <mergeCell ref="B31:E31"/>
    <mergeCell ref="B32:E32"/>
    <mergeCell ref="B33:E33"/>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6"/>
  <sheetViews>
    <sheetView workbookViewId="0">
      <selection activeCell="C10" sqref="C10"/>
    </sheetView>
  </sheetViews>
  <sheetFormatPr defaultRowHeight="14.4" x14ac:dyDescent="0.3"/>
  <cols>
    <col min="1" max="1" width="14.88671875" customWidth="1"/>
    <col min="2" max="2" width="23" customWidth="1"/>
    <col min="3" max="3" width="96.6640625" style="20" customWidth="1"/>
  </cols>
  <sheetData>
    <row r="1" spans="1:3" x14ac:dyDescent="0.3">
      <c r="A1" s="2" t="s">
        <v>30</v>
      </c>
      <c r="B1" s="2" t="s">
        <v>31</v>
      </c>
      <c r="C1" s="3" t="s">
        <v>32</v>
      </c>
    </row>
    <row r="2" spans="1:3" x14ac:dyDescent="0.3">
      <c r="A2" s="4" t="s">
        <v>33</v>
      </c>
      <c r="B2" s="5" t="s">
        <v>34</v>
      </c>
      <c r="C2" s="6" t="b">
        <v>1</v>
      </c>
    </row>
    <row r="3" spans="1:3" x14ac:dyDescent="0.3">
      <c r="A3" s="4" t="s">
        <v>33</v>
      </c>
      <c r="B3" s="5" t="s">
        <v>35</v>
      </c>
      <c r="C3" s="6" t="b">
        <v>0</v>
      </c>
    </row>
    <row r="4" spans="1:3" x14ac:dyDescent="0.3">
      <c r="A4" s="7" t="s">
        <v>36</v>
      </c>
      <c r="B4" s="8" t="s">
        <v>37</v>
      </c>
      <c r="C4" s="6" t="b">
        <v>0</v>
      </c>
    </row>
    <row r="5" spans="1:3" x14ac:dyDescent="0.3">
      <c r="A5" s="7" t="s">
        <v>36</v>
      </c>
      <c r="B5" s="9" t="s">
        <v>38</v>
      </c>
      <c r="C5" s="10" t="b">
        <v>1</v>
      </c>
    </row>
    <row r="6" spans="1:3" x14ac:dyDescent="0.3">
      <c r="A6" s="7" t="s">
        <v>36</v>
      </c>
      <c r="B6" s="9" t="s">
        <v>39</v>
      </c>
      <c r="C6" s="10" t="s">
        <v>40</v>
      </c>
    </row>
    <row r="7" spans="1:3" x14ac:dyDescent="0.3">
      <c r="A7" s="7" t="s">
        <v>36</v>
      </c>
      <c r="B7" s="9" t="s">
        <v>41</v>
      </c>
      <c r="C7" s="10" t="s">
        <v>173</v>
      </c>
    </row>
    <row r="8" spans="1:3" x14ac:dyDescent="0.3">
      <c r="A8" s="11" t="s">
        <v>42</v>
      </c>
      <c r="B8" s="8" t="s">
        <v>43</v>
      </c>
      <c r="C8" s="12" t="s">
        <v>44</v>
      </c>
    </row>
    <row r="9" spans="1:3" x14ac:dyDescent="0.3">
      <c r="A9" s="11" t="s">
        <v>45</v>
      </c>
      <c r="B9" s="8" t="s">
        <v>46</v>
      </c>
      <c r="C9" s="12" t="b">
        <v>0</v>
      </c>
    </row>
    <row r="10" spans="1:3" x14ac:dyDescent="0.3">
      <c r="A10" s="11" t="s">
        <v>45</v>
      </c>
      <c r="B10" s="8" t="s">
        <v>47</v>
      </c>
      <c r="C10" s="12" t="b">
        <v>1</v>
      </c>
    </row>
    <row r="11" spans="1:3" x14ac:dyDescent="0.3">
      <c r="A11" s="11" t="s">
        <v>45</v>
      </c>
      <c r="B11" s="8" t="s">
        <v>48</v>
      </c>
      <c r="C11" s="13" t="s">
        <v>49</v>
      </c>
    </row>
    <row r="12" spans="1:3" x14ac:dyDescent="0.3">
      <c r="A12" s="14" t="s">
        <v>45</v>
      </c>
      <c r="B12" s="9" t="s">
        <v>50</v>
      </c>
      <c r="C12" s="15" t="s">
        <v>51</v>
      </c>
    </row>
    <row r="13" spans="1:3" x14ac:dyDescent="0.3">
      <c r="A13" s="228" t="s">
        <v>52</v>
      </c>
      <c r="B13" s="229"/>
      <c r="C13" s="16"/>
    </row>
    <row r="14" spans="1:3" x14ac:dyDescent="0.3">
      <c r="A14" s="17" t="s">
        <v>30</v>
      </c>
      <c r="B14" s="17" t="s">
        <v>31</v>
      </c>
      <c r="C14" s="18" t="s">
        <v>32</v>
      </c>
    </row>
    <row r="15" spans="1:3" x14ac:dyDescent="0.3">
      <c r="A15" t="s">
        <v>33</v>
      </c>
      <c r="B15" s="19" t="s">
        <v>53</v>
      </c>
      <c r="C15" s="20" t="b">
        <v>1</v>
      </c>
    </row>
    <row r="16" spans="1:3" x14ac:dyDescent="0.3">
      <c r="A16" t="s">
        <v>36</v>
      </c>
      <c r="B16" s="19" t="s">
        <v>54</v>
      </c>
      <c r="C16" s="20" t="b">
        <v>0</v>
      </c>
    </row>
    <row r="17" spans="1:3" x14ac:dyDescent="0.3">
      <c r="A17" t="s">
        <v>36</v>
      </c>
      <c r="B17" s="19" t="s">
        <v>55</v>
      </c>
      <c r="C17" s="20" t="s">
        <v>56</v>
      </c>
    </row>
    <row r="18" spans="1:3" x14ac:dyDescent="0.3">
      <c r="A18" t="s">
        <v>36</v>
      </c>
      <c r="B18" s="19" t="s">
        <v>57</v>
      </c>
      <c r="C18" s="20" t="s">
        <v>58</v>
      </c>
    </row>
    <row r="19" spans="1:3" x14ac:dyDescent="0.3">
      <c r="A19" t="s">
        <v>36</v>
      </c>
      <c r="B19" s="19" t="s">
        <v>59</v>
      </c>
      <c r="C19" s="20" t="s">
        <v>60</v>
      </c>
    </row>
    <row r="20" spans="1:3" x14ac:dyDescent="0.3">
      <c r="A20" t="s">
        <v>36</v>
      </c>
      <c r="B20" s="19" t="s">
        <v>61</v>
      </c>
      <c r="C20" s="20" t="s">
        <v>62</v>
      </c>
    </row>
    <row r="21" spans="1:3" x14ac:dyDescent="0.3">
      <c r="A21" t="s">
        <v>36</v>
      </c>
      <c r="B21" s="19" t="s">
        <v>63</v>
      </c>
      <c r="C21" s="20" t="s">
        <v>64</v>
      </c>
    </row>
    <row r="22" spans="1:3" x14ac:dyDescent="0.3">
      <c r="A22" t="s">
        <v>36</v>
      </c>
      <c r="B22" s="19" t="s">
        <v>65</v>
      </c>
      <c r="C22" s="20" t="s">
        <v>66</v>
      </c>
    </row>
    <row r="23" spans="1:3" x14ac:dyDescent="0.3">
      <c r="A23" t="s">
        <v>45</v>
      </c>
      <c r="B23" s="19" t="s">
        <v>67</v>
      </c>
    </row>
    <row r="24" spans="1:3" x14ac:dyDescent="0.3">
      <c r="A24" t="s">
        <v>68</v>
      </c>
      <c r="B24" s="19" t="s">
        <v>69</v>
      </c>
      <c r="C24" s="20" t="b">
        <v>0</v>
      </c>
    </row>
    <row r="25" spans="1:3" x14ac:dyDescent="0.3">
      <c r="A25" t="s">
        <v>68</v>
      </c>
      <c r="B25" s="19" t="s">
        <v>70</v>
      </c>
      <c r="C25" s="20" t="s">
        <v>162</v>
      </c>
    </row>
    <row r="26" spans="1:3" x14ac:dyDescent="0.3">
      <c r="A26" t="s">
        <v>68</v>
      </c>
      <c r="B26" s="19" t="s">
        <v>71</v>
      </c>
      <c r="C26" s="20" t="s">
        <v>162</v>
      </c>
    </row>
  </sheetData>
  <dataConsolidate/>
  <mergeCells count="1">
    <mergeCell ref="A13:B13"/>
  </mergeCells>
  <pageMargins left="0.7" right="0.7" top="0.75" bottom="0.75" header="0.3" footer="0.3"/>
  <pageSetup orientation="portrait" horizontalDpi="300" verticalDpi="300"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N62"/>
  <sheetViews>
    <sheetView zoomScaleNormal="100" workbookViewId="0">
      <selection activeCell="G56" sqref="G56"/>
    </sheetView>
  </sheetViews>
  <sheetFormatPr defaultRowHeight="14.4" x14ac:dyDescent="0.3"/>
  <cols>
    <col min="1" max="1" width="21.77734375" customWidth="1"/>
    <col min="2" max="2" width="15.33203125" customWidth="1"/>
    <col min="3" max="3" width="16.21875" style="30" customWidth="1"/>
    <col min="4" max="4" width="16.88671875" style="30" customWidth="1"/>
    <col min="5" max="5" width="15.109375" style="30" customWidth="1"/>
    <col min="6" max="6" width="10.21875" customWidth="1"/>
    <col min="7" max="7" width="10.5546875" customWidth="1"/>
    <col min="8" max="8" width="16.109375" customWidth="1"/>
    <col min="9" max="9" width="18.109375" customWidth="1"/>
    <col min="10" max="10" width="11.88671875" customWidth="1"/>
    <col min="11" max="11" width="15.109375" customWidth="1"/>
    <col min="12" max="12" width="10.44140625" customWidth="1"/>
    <col min="13" max="13" width="17.88671875" customWidth="1"/>
    <col min="14" max="14" width="17" customWidth="1"/>
  </cols>
  <sheetData>
    <row r="1" spans="1:14" s="20" customFormat="1" ht="32.4" customHeight="1" x14ac:dyDescent="0.3">
      <c r="A1" s="140" t="s">
        <v>72</v>
      </c>
      <c r="B1" s="141" t="s">
        <v>73</v>
      </c>
      <c r="C1" s="141" t="s">
        <v>74</v>
      </c>
      <c r="D1" s="141" t="s">
        <v>75</v>
      </c>
      <c r="E1" s="141" t="s">
        <v>76</v>
      </c>
      <c r="F1" s="141" t="s">
        <v>77</v>
      </c>
      <c r="G1" s="141" t="s">
        <v>78</v>
      </c>
      <c r="H1" s="141" t="s">
        <v>79</v>
      </c>
      <c r="I1" s="141" t="s">
        <v>80</v>
      </c>
      <c r="J1" s="141" t="s">
        <v>81</v>
      </c>
      <c r="K1" s="141" t="s">
        <v>82</v>
      </c>
      <c r="L1" s="142" t="s">
        <v>83</v>
      </c>
      <c r="M1" s="141" t="s">
        <v>84</v>
      </c>
      <c r="N1" s="141" t="s">
        <v>85</v>
      </c>
    </row>
    <row r="2" spans="1:14" x14ac:dyDescent="0.3">
      <c r="A2" s="21"/>
      <c r="B2" s="22"/>
      <c r="C2" s="23"/>
      <c r="D2" s="23"/>
      <c r="E2" s="23"/>
      <c r="F2" s="24"/>
      <c r="G2" s="24"/>
      <c r="H2" s="24"/>
      <c r="I2" s="23"/>
      <c r="J2" s="24"/>
      <c r="K2" s="25"/>
      <c r="L2" s="26"/>
      <c r="M2" s="22"/>
      <c r="N2" s="22"/>
    </row>
    <row r="3" spans="1:14" x14ac:dyDescent="0.3">
      <c r="A3" s="21"/>
      <c r="B3" s="22"/>
      <c r="C3" s="23"/>
      <c r="D3" s="23"/>
      <c r="E3" s="23"/>
      <c r="F3" s="24"/>
      <c r="G3" s="24"/>
      <c r="H3" s="24"/>
      <c r="I3" s="23"/>
      <c r="J3" s="24"/>
      <c r="K3" s="25"/>
      <c r="L3" s="26"/>
      <c r="M3" s="22"/>
      <c r="N3" s="22"/>
    </row>
    <row r="4" spans="1:14" x14ac:dyDescent="0.3">
      <c r="A4" s="21"/>
      <c r="B4" s="22"/>
      <c r="C4" s="23"/>
      <c r="D4" s="23"/>
      <c r="E4" s="23"/>
      <c r="F4" s="24"/>
      <c r="G4" s="24"/>
      <c r="H4" s="24"/>
      <c r="I4" s="23"/>
      <c r="J4" s="24"/>
      <c r="K4" s="25"/>
      <c r="L4" s="26"/>
      <c r="M4" s="22"/>
      <c r="N4" s="22"/>
    </row>
    <row r="5" spans="1:14" x14ac:dyDescent="0.3">
      <c r="A5" s="21"/>
      <c r="B5" s="22"/>
      <c r="C5" s="23"/>
      <c r="D5" s="23"/>
      <c r="E5" s="23"/>
      <c r="F5" s="24"/>
      <c r="G5" s="24"/>
      <c r="H5" s="24"/>
      <c r="I5" s="23"/>
      <c r="J5" s="24"/>
      <c r="K5" s="25"/>
      <c r="L5" s="26"/>
      <c r="M5" s="22"/>
      <c r="N5" s="22"/>
    </row>
    <row r="6" spans="1:14" x14ac:dyDescent="0.3">
      <c r="A6" s="21"/>
      <c r="B6" s="22"/>
      <c r="C6" s="23"/>
      <c r="D6" s="23"/>
      <c r="E6" s="23"/>
      <c r="F6" s="24"/>
      <c r="G6" s="24"/>
      <c r="H6" s="24"/>
      <c r="I6" s="23"/>
      <c r="J6" s="24"/>
      <c r="K6" s="25"/>
      <c r="L6" s="26"/>
      <c r="M6" s="22"/>
      <c r="N6" s="22"/>
    </row>
    <row r="7" spans="1:14" x14ac:dyDescent="0.3">
      <c r="A7" s="21"/>
      <c r="B7" s="22"/>
      <c r="C7" s="23"/>
      <c r="D7" s="23"/>
      <c r="E7" s="23"/>
      <c r="F7" s="24"/>
      <c r="G7" s="24"/>
      <c r="H7" s="24"/>
      <c r="I7" s="23"/>
      <c r="J7" s="24"/>
      <c r="K7" s="25"/>
      <c r="L7" s="26"/>
      <c r="M7" s="22"/>
      <c r="N7" s="22"/>
    </row>
    <row r="8" spans="1:14" x14ac:dyDescent="0.3">
      <c r="A8" s="21"/>
      <c r="B8" s="22"/>
      <c r="C8" s="23"/>
      <c r="D8" s="23"/>
      <c r="E8" s="23"/>
      <c r="F8" s="24"/>
      <c r="G8" s="24"/>
      <c r="H8" s="24"/>
      <c r="I8" s="23"/>
      <c r="J8" s="24"/>
      <c r="K8" s="25"/>
      <c r="L8" s="26"/>
      <c r="M8" s="22"/>
      <c r="N8" s="22"/>
    </row>
    <row r="9" spans="1:14" x14ac:dyDescent="0.3">
      <c r="A9" s="21"/>
      <c r="B9" s="22"/>
      <c r="C9" s="23"/>
      <c r="D9" s="23"/>
      <c r="E9" s="23"/>
      <c r="F9" s="24"/>
      <c r="G9" s="24"/>
      <c r="H9" s="24"/>
      <c r="I9" s="23"/>
      <c r="J9" s="24"/>
      <c r="K9" s="25"/>
      <c r="L9" s="26"/>
      <c r="M9" s="22"/>
      <c r="N9" s="22"/>
    </row>
    <row r="10" spans="1:14" x14ac:dyDescent="0.3">
      <c r="A10" s="134"/>
      <c r="B10" s="135"/>
      <c r="C10" s="242"/>
      <c r="D10" s="242"/>
      <c r="E10" s="242"/>
      <c r="F10" s="244"/>
      <c r="G10" s="246"/>
      <c r="H10" s="244"/>
      <c r="I10" s="242"/>
      <c r="J10" s="246"/>
      <c r="K10" s="136"/>
      <c r="L10" s="247"/>
      <c r="M10" s="22"/>
      <c r="N10" s="22"/>
    </row>
    <row r="11" spans="1:14" x14ac:dyDescent="0.3">
      <c r="A11" s="21"/>
      <c r="B11" s="22"/>
      <c r="C11" s="23"/>
      <c r="D11" s="23"/>
      <c r="E11" s="23"/>
      <c r="F11" s="24"/>
      <c r="G11" s="24"/>
      <c r="H11" s="24"/>
      <c r="I11" s="23"/>
      <c r="J11" s="24"/>
      <c r="K11" s="25"/>
      <c r="L11" s="26"/>
      <c r="M11" s="22"/>
      <c r="N11" s="22"/>
    </row>
    <row r="12" spans="1:14" x14ac:dyDescent="0.3">
      <c r="A12" s="21"/>
      <c r="B12" s="22"/>
      <c r="C12" s="23"/>
      <c r="D12" s="23"/>
      <c r="E12" s="23"/>
      <c r="F12" s="24"/>
      <c r="G12" s="24"/>
      <c r="H12" s="24"/>
      <c r="I12" s="23"/>
      <c r="J12" s="24"/>
      <c r="K12" s="25"/>
      <c r="L12" s="26"/>
      <c r="M12" s="22"/>
      <c r="N12" s="22"/>
    </row>
    <row r="13" spans="1:14" x14ac:dyDescent="0.3">
      <c r="A13" s="21"/>
      <c r="B13" s="22"/>
      <c r="C13" s="23"/>
      <c r="D13" s="23"/>
      <c r="E13" s="23"/>
      <c r="F13" s="24"/>
      <c r="G13" s="24"/>
      <c r="H13" s="24"/>
      <c r="I13" s="23"/>
      <c r="J13" s="24"/>
      <c r="K13" s="25"/>
      <c r="L13" s="26"/>
      <c r="M13" s="22"/>
      <c r="N13" s="22"/>
    </row>
    <row r="14" spans="1:14" x14ac:dyDescent="0.3">
      <c r="A14" s="21"/>
      <c r="B14" s="22"/>
      <c r="C14" s="23"/>
      <c r="D14" s="23"/>
      <c r="E14" s="23"/>
      <c r="F14" s="24"/>
      <c r="G14" s="24"/>
      <c r="H14" s="24"/>
      <c r="I14" s="23"/>
      <c r="J14" s="24"/>
      <c r="K14" s="25"/>
      <c r="L14" s="26"/>
      <c r="M14" s="22"/>
      <c r="N14" s="22"/>
    </row>
    <row r="15" spans="1:14" x14ac:dyDescent="0.3">
      <c r="A15" s="21"/>
      <c r="B15" s="22"/>
      <c r="C15" s="23"/>
      <c r="D15" s="23"/>
      <c r="E15" s="23"/>
      <c r="F15" s="24"/>
      <c r="G15" s="24"/>
      <c r="H15" s="24"/>
      <c r="I15" s="23"/>
      <c r="J15" s="24"/>
      <c r="K15" s="25"/>
      <c r="L15" s="26"/>
      <c r="M15" s="22"/>
      <c r="N15" s="22"/>
    </row>
    <row r="16" spans="1:14" x14ac:dyDescent="0.3">
      <c r="A16" s="21"/>
      <c r="B16" s="22"/>
      <c r="C16" s="23"/>
      <c r="D16" s="23"/>
      <c r="E16" s="23"/>
      <c r="F16" s="24"/>
      <c r="G16" s="24"/>
      <c r="H16" s="24"/>
      <c r="I16" s="23"/>
      <c r="J16" s="24"/>
      <c r="K16" s="25"/>
      <c r="L16" s="26"/>
      <c r="M16" s="22"/>
      <c r="N16" s="22"/>
    </row>
    <row r="17" spans="1:14" x14ac:dyDescent="0.3">
      <c r="A17" s="21"/>
      <c r="B17" s="22"/>
      <c r="C17" s="23"/>
      <c r="D17" s="23"/>
      <c r="E17" s="23"/>
      <c r="F17" s="24"/>
      <c r="G17" s="24"/>
      <c r="H17" s="24"/>
      <c r="I17" s="23"/>
      <c r="J17" s="24"/>
      <c r="K17" s="25"/>
      <c r="L17" s="26"/>
      <c r="M17" s="22"/>
      <c r="N17" s="22"/>
    </row>
    <row r="18" spans="1:14" x14ac:dyDescent="0.3">
      <c r="A18" s="21"/>
      <c r="B18" s="22"/>
      <c r="C18" s="23"/>
      <c r="D18" s="23"/>
      <c r="E18" s="23"/>
      <c r="F18" s="24"/>
      <c r="G18" s="24"/>
      <c r="H18" s="24"/>
      <c r="I18" s="23"/>
      <c r="J18" s="24"/>
      <c r="K18" s="25"/>
      <c r="L18" s="26"/>
      <c r="M18" s="22"/>
      <c r="N18" s="22"/>
    </row>
    <row r="19" spans="1:14" x14ac:dyDescent="0.3">
      <c r="A19" s="21"/>
      <c r="B19" s="22"/>
      <c r="C19" s="23"/>
      <c r="D19" s="23"/>
      <c r="E19" s="23"/>
      <c r="F19" s="24"/>
      <c r="G19" s="24"/>
      <c r="H19" s="24"/>
      <c r="I19" s="23"/>
      <c r="J19" s="24"/>
      <c r="K19" s="25"/>
      <c r="L19" s="26"/>
      <c r="M19" s="22"/>
      <c r="N19" s="22"/>
    </row>
    <row r="20" spans="1:14" x14ac:dyDescent="0.3">
      <c r="A20" s="21"/>
      <c r="B20" s="22"/>
      <c r="C20" s="23"/>
      <c r="D20" s="23"/>
      <c r="E20" s="23"/>
      <c r="F20" s="24"/>
      <c r="G20" s="24"/>
      <c r="H20" s="24"/>
      <c r="I20" s="23"/>
      <c r="J20" s="24"/>
      <c r="K20" s="25"/>
      <c r="L20" s="26"/>
      <c r="M20" s="22"/>
      <c r="N20" s="22"/>
    </row>
    <row r="21" spans="1:14" x14ac:dyDescent="0.3">
      <c r="A21" s="21"/>
      <c r="B21" s="22"/>
      <c r="C21" s="23"/>
      <c r="D21" s="23"/>
      <c r="E21" s="23"/>
      <c r="F21" s="24"/>
      <c r="G21" s="24"/>
      <c r="H21" s="24"/>
      <c r="I21" s="23"/>
      <c r="J21" s="24"/>
      <c r="K21" s="25"/>
      <c r="L21" s="26"/>
      <c r="M21" s="22"/>
      <c r="N21" s="22"/>
    </row>
    <row r="22" spans="1:14" x14ac:dyDescent="0.3">
      <c r="A22" s="21"/>
      <c r="B22" s="22"/>
      <c r="C22" s="23"/>
      <c r="D22" s="23"/>
      <c r="E22" s="23"/>
      <c r="F22" s="24"/>
      <c r="G22" s="24"/>
      <c r="H22" s="24"/>
      <c r="I22" s="23"/>
      <c r="J22" s="24"/>
      <c r="K22" s="25"/>
      <c r="L22" s="26"/>
      <c r="M22" s="22"/>
      <c r="N22" s="22"/>
    </row>
    <row r="23" spans="1:14" x14ac:dyDescent="0.3">
      <c r="A23" s="21"/>
      <c r="B23" s="22"/>
      <c r="C23" s="23"/>
      <c r="D23" s="23"/>
      <c r="E23" s="23"/>
      <c r="F23" s="24"/>
      <c r="G23" s="24"/>
      <c r="H23" s="24"/>
      <c r="I23" s="23"/>
      <c r="J23" s="24"/>
      <c r="K23" s="25"/>
      <c r="L23" s="26"/>
      <c r="M23" s="22"/>
      <c r="N23" s="22"/>
    </row>
    <row r="24" spans="1:14" x14ac:dyDescent="0.3">
      <c r="A24" s="21"/>
      <c r="B24" s="22"/>
      <c r="C24" s="23"/>
      <c r="D24" s="23"/>
      <c r="E24" s="23"/>
      <c r="F24" s="24"/>
      <c r="G24" s="24"/>
      <c r="H24" s="24"/>
      <c r="I24" s="23"/>
      <c r="J24" s="24"/>
      <c r="K24" s="25"/>
      <c r="L24" s="26"/>
      <c r="M24" s="22"/>
      <c r="N24" s="22"/>
    </row>
    <row r="25" spans="1:14" x14ac:dyDescent="0.3">
      <c r="A25" s="21"/>
      <c r="B25" s="22"/>
      <c r="C25" s="23"/>
      <c r="D25" s="23"/>
      <c r="E25" s="23"/>
      <c r="F25" s="24"/>
      <c r="G25" s="24"/>
      <c r="H25" s="24"/>
      <c r="I25" s="23"/>
      <c r="J25" s="24"/>
      <c r="K25" s="25"/>
      <c r="L25" s="26"/>
      <c r="M25" s="22"/>
      <c r="N25" s="22"/>
    </row>
    <row r="26" spans="1:14" x14ac:dyDescent="0.3">
      <c r="A26" s="21"/>
      <c r="B26" s="22"/>
      <c r="C26" s="23"/>
      <c r="D26" s="23"/>
      <c r="E26" s="23"/>
      <c r="F26" s="24"/>
      <c r="G26" s="24"/>
      <c r="H26" s="24"/>
      <c r="I26" s="23"/>
      <c r="J26" s="24"/>
      <c r="K26" s="25"/>
      <c r="L26" s="26"/>
      <c r="M26" s="22"/>
      <c r="N26" s="22"/>
    </row>
    <row r="27" spans="1:14" x14ac:dyDescent="0.3">
      <c r="A27" s="21"/>
      <c r="B27" s="22"/>
      <c r="C27" s="23"/>
      <c r="D27" s="23"/>
      <c r="E27" s="23"/>
      <c r="F27" s="24"/>
      <c r="G27" s="24"/>
      <c r="H27" s="24"/>
      <c r="I27" s="23"/>
      <c r="J27" s="24"/>
      <c r="K27" s="25"/>
      <c r="L27" s="26"/>
      <c r="M27" s="22"/>
      <c r="N27" s="22"/>
    </row>
    <row r="28" spans="1:14" x14ac:dyDescent="0.3">
      <c r="A28" s="21"/>
      <c r="B28" s="22"/>
      <c r="C28" s="23"/>
      <c r="D28" s="23"/>
      <c r="E28" s="23"/>
      <c r="F28" s="24"/>
      <c r="G28" s="24"/>
      <c r="H28" s="24"/>
      <c r="I28" s="23"/>
      <c r="J28" s="24"/>
      <c r="K28" s="25"/>
      <c r="L28" s="26"/>
      <c r="M28" s="22"/>
      <c r="N28" s="22"/>
    </row>
    <row r="29" spans="1:14" x14ac:dyDescent="0.3">
      <c r="A29" s="21"/>
      <c r="B29" s="22"/>
      <c r="C29" s="23"/>
      <c r="D29" s="23"/>
      <c r="E29" s="23"/>
      <c r="F29" s="24"/>
      <c r="G29" s="24"/>
      <c r="H29" s="24"/>
      <c r="I29" s="23"/>
      <c r="J29" s="24"/>
      <c r="K29" s="25"/>
      <c r="L29" s="26"/>
      <c r="M29" s="22"/>
      <c r="N29" s="22"/>
    </row>
    <row r="30" spans="1:14" x14ac:dyDescent="0.3">
      <c r="A30" s="21"/>
      <c r="B30" s="22"/>
      <c r="C30" s="23"/>
      <c r="D30" s="23"/>
      <c r="E30" s="23"/>
      <c r="F30" s="24"/>
      <c r="G30" s="24"/>
      <c r="H30" s="24"/>
      <c r="I30" s="23"/>
      <c r="J30" s="24"/>
      <c r="K30" s="25"/>
      <c r="L30" s="26"/>
      <c r="M30" s="22"/>
      <c r="N30" s="22"/>
    </row>
    <row r="31" spans="1:14" x14ac:dyDescent="0.3">
      <c r="A31" s="21"/>
      <c r="B31" s="22"/>
      <c r="C31" s="23"/>
      <c r="D31" s="23"/>
      <c r="E31" s="23"/>
      <c r="F31" s="24"/>
      <c r="G31" s="24"/>
      <c r="H31" s="24"/>
      <c r="I31" s="23"/>
      <c r="J31" s="24"/>
      <c r="K31" s="25"/>
      <c r="L31" s="26"/>
      <c r="M31" s="22"/>
      <c r="N31" s="22"/>
    </row>
    <row r="32" spans="1:14" x14ac:dyDescent="0.3">
      <c r="A32" s="21"/>
      <c r="B32" s="22"/>
      <c r="C32" s="23"/>
      <c r="D32" s="23"/>
      <c r="E32" s="23"/>
      <c r="F32" s="24"/>
      <c r="G32" s="24"/>
      <c r="H32" s="24"/>
      <c r="I32" s="23"/>
      <c r="J32" s="24"/>
      <c r="K32" s="25"/>
      <c r="L32" s="26"/>
      <c r="M32" s="22"/>
      <c r="N32" s="22"/>
    </row>
    <row r="33" spans="1:14" x14ac:dyDescent="0.3">
      <c r="A33" s="21"/>
      <c r="B33" s="22"/>
      <c r="C33" s="23"/>
      <c r="D33" s="23"/>
      <c r="E33" s="23"/>
      <c r="F33" s="24"/>
      <c r="G33" s="24"/>
      <c r="H33" s="24"/>
      <c r="I33" s="23"/>
      <c r="J33" s="24"/>
      <c r="K33" s="25"/>
      <c r="L33" s="26"/>
      <c r="M33" s="22"/>
      <c r="N33" s="22"/>
    </row>
    <row r="34" spans="1:14" x14ac:dyDescent="0.3">
      <c r="A34" s="21"/>
      <c r="B34" s="22"/>
      <c r="C34" s="23"/>
      <c r="D34" s="23"/>
      <c r="E34" s="23"/>
      <c r="F34" s="24"/>
      <c r="G34" s="24"/>
      <c r="H34" s="24"/>
      <c r="I34" s="23"/>
      <c r="J34" s="24"/>
      <c r="K34" s="25"/>
      <c r="L34" s="26"/>
      <c r="M34" s="22"/>
      <c r="N34" s="22"/>
    </row>
    <row r="35" spans="1:14" x14ac:dyDescent="0.3">
      <c r="A35" s="21"/>
      <c r="B35" s="22"/>
      <c r="C35" s="23"/>
      <c r="D35" s="23"/>
      <c r="E35" s="23"/>
      <c r="F35" s="24"/>
      <c r="G35" s="24"/>
      <c r="H35" s="24"/>
      <c r="I35" s="23"/>
      <c r="J35" s="24"/>
      <c r="K35" s="25"/>
      <c r="L35" s="26"/>
      <c r="M35" s="22"/>
      <c r="N35" s="22"/>
    </row>
    <row r="36" spans="1:14" x14ac:dyDescent="0.3">
      <c r="A36" s="21"/>
      <c r="B36" s="22"/>
      <c r="C36" s="23"/>
      <c r="D36" s="23"/>
      <c r="E36" s="23"/>
      <c r="F36" s="24"/>
      <c r="G36" s="24"/>
      <c r="H36" s="24"/>
      <c r="I36" s="23"/>
      <c r="J36" s="24"/>
      <c r="K36" s="25"/>
      <c r="L36" s="26"/>
      <c r="M36" s="22"/>
      <c r="N36" s="22"/>
    </row>
    <row r="37" spans="1:14" x14ac:dyDescent="0.3">
      <c r="A37" s="21"/>
      <c r="B37" s="22"/>
      <c r="C37" s="23"/>
      <c r="D37" s="23"/>
      <c r="E37" s="23"/>
      <c r="F37" s="24"/>
      <c r="G37" s="24"/>
      <c r="H37" s="24"/>
      <c r="I37" s="23"/>
      <c r="J37" s="24"/>
      <c r="K37" s="25"/>
      <c r="L37" s="26"/>
      <c r="M37" s="22"/>
      <c r="N37" s="22"/>
    </row>
    <row r="38" spans="1:14" x14ac:dyDescent="0.3">
      <c r="A38" s="21"/>
      <c r="B38" s="22"/>
      <c r="C38" s="23"/>
      <c r="D38" s="23"/>
      <c r="E38" s="23"/>
      <c r="F38" s="24"/>
      <c r="G38" s="24"/>
      <c r="H38" s="24"/>
      <c r="I38" s="23"/>
      <c r="J38" s="24"/>
      <c r="K38" s="25"/>
      <c r="L38" s="26"/>
      <c r="M38" s="22"/>
      <c r="N38" s="22"/>
    </row>
    <row r="39" spans="1:14" x14ac:dyDescent="0.3">
      <c r="A39" s="21"/>
      <c r="B39" s="22"/>
      <c r="C39" s="23"/>
      <c r="D39" s="23"/>
      <c r="E39" s="23"/>
      <c r="F39" s="24"/>
      <c r="G39" s="24"/>
      <c r="H39" s="24"/>
      <c r="I39" s="23"/>
      <c r="J39" s="24"/>
      <c r="K39" s="25"/>
      <c r="L39" s="26"/>
      <c r="M39" s="22"/>
      <c r="N39" s="22"/>
    </row>
    <row r="40" spans="1:14" x14ac:dyDescent="0.3">
      <c r="A40" s="21"/>
      <c r="B40" s="22"/>
      <c r="C40" s="23"/>
      <c r="D40" s="23"/>
      <c r="E40" s="23"/>
      <c r="F40" s="24"/>
      <c r="G40" s="24"/>
      <c r="H40" s="24"/>
      <c r="I40" s="23"/>
      <c r="J40" s="24"/>
      <c r="K40" s="25"/>
      <c r="L40" s="26"/>
      <c r="M40" s="22"/>
      <c r="N40" s="22"/>
    </row>
    <row r="41" spans="1:14" x14ac:dyDescent="0.3">
      <c r="A41" s="21"/>
      <c r="B41" s="22"/>
      <c r="C41" s="23"/>
      <c r="D41" s="23"/>
      <c r="E41" s="23"/>
      <c r="F41" s="24"/>
      <c r="G41" s="24"/>
      <c r="H41" s="24"/>
      <c r="I41" s="23"/>
      <c r="J41" s="24"/>
      <c r="K41" s="25"/>
      <c r="L41" s="26"/>
      <c r="M41" s="22"/>
      <c r="N41" s="22"/>
    </row>
    <row r="42" spans="1:14" x14ac:dyDescent="0.3">
      <c r="A42" s="21"/>
      <c r="B42" s="22"/>
      <c r="C42" s="23"/>
      <c r="D42" s="23"/>
      <c r="E42" s="23"/>
      <c r="F42" s="24"/>
      <c r="G42" s="24"/>
      <c r="H42" s="24"/>
      <c r="I42" s="23"/>
      <c r="J42" s="24"/>
      <c r="K42" s="25"/>
      <c r="L42" s="26"/>
      <c r="M42" s="22"/>
      <c r="N42" s="22"/>
    </row>
    <row r="43" spans="1:14" x14ac:dyDescent="0.3">
      <c r="A43" s="21"/>
      <c r="B43" s="22"/>
      <c r="C43" s="23"/>
      <c r="D43" s="23"/>
      <c r="E43" s="23"/>
      <c r="F43" s="24"/>
      <c r="G43" s="24"/>
      <c r="H43" s="24"/>
      <c r="I43" s="23"/>
      <c r="J43" s="24"/>
      <c r="K43" s="25"/>
      <c r="L43" s="26"/>
      <c r="M43" s="22"/>
      <c r="N43" s="22"/>
    </row>
    <row r="44" spans="1:14" x14ac:dyDescent="0.3">
      <c r="A44" s="21"/>
      <c r="B44" s="22"/>
      <c r="C44" s="23"/>
      <c r="D44" s="23"/>
      <c r="E44" s="23"/>
      <c r="F44" s="24"/>
      <c r="G44" s="24"/>
      <c r="H44" s="24"/>
      <c r="I44" s="23"/>
      <c r="J44" s="24"/>
      <c r="K44" s="25"/>
      <c r="L44" s="26"/>
      <c r="M44" s="22"/>
      <c r="N44" s="22"/>
    </row>
    <row r="45" spans="1:14" x14ac:dyDescent="0.3">
      <c r="A45" s="21"/>
      <c r="B45" s="22"/>
      <c r="C45" s="23"/>
      <c r="D45" s="23"/>
      <c r="E45" s="23"/>
      <c r="F45" s="24"/>
      <c r="G45" s="24"/>
      <c r="H45" s="24"/>
      <c r="I45" s="23"/>
      <c r="J45" s="24"/>
      <c r="K45" s="25"/>
      <c r="L45" s="26"/>
      <c r="M45" s="22"/>
      <c r="N45" s="22"/>
    </row>
    <row r="46" spans="1:14" x14ac:dyDescent="0.3">
      <c r="A46" s="21"/>
      <c r="B46" s="22"/>
      <c r="C46" s="23"/>
      <c r="D46" s="23"/>
      <c r="E46" s="23"/>
      <c r="F46" s="24"/>
      <c r="G46" s="24"/>
      <c r="H46" s="24"/>
      <c r="I46" s="23"/>
      <c r="J46" s="24"/>
      <c r="K46" s="25"/>
      <c r="L46" s="26"/>
      <c r="M46" s="22"/>
      <c r="N46" s="22"/>
    </row>
    <row r="47" spans="1:14" x14ac:dyDescent="0.3">
      <c r="A47" s="21"/>
      <c r="B47" s="22"/>
      <c r="C47" s="23"/>
      <c r="D47" s="23"/>
      <c r="E47" s="23"/>
      <c r="F47" s="24"/>
      <c r="G47" s="24"/>
      <c r="H47" s="24"/>
      <c r="I47" s="23"/>
      <c r="J47" s="24"/>
      <c r="K47" s="25"/>
      <c r="L47" s="26"/>
      <c r="M47" s="22"/>
      <c r="N47" s="22"/>
    </row>
    <row r="48" spans="1:14" x14ac:dyDescent="0.3">
      <c r="A48" s="21"/>
      <c r="B48" s="22"/>
      <c r="C48" s="23"/>
      <c r="D48" s="23"/>
      <c r="E48" s="23"/>
      <c r="F48" s="24"/>
      <c r="G48" s="24"/>
      <c r="H48" s="24"/>
      <c r="I48" s="23"/>
      <c r="J48" s="24"/>
      <c r="K48" s="25"/>
      <c r="L48" s="26"/>
      <c r="M48" s="22"/>
      <c r="N48" s="22"/>
    </row>
    <row r="49" spans="1:14" x14ac:dyDescent="0.3">
      <c r="A49" s="21"/>
      <c r="B49" s="22"/>
      <c r="C49" s="23"/>
      <c r="D49" s="23"/>
      <c r="E49" s="23"/>
      <c r="F49" s="24"/>
      <c r="G49" s="24"/>
      <c r="H49" s="24"/>
      <c r="I49" s="23"/>
      <c r="J49" s="24"/>
      <c r="K49" s="25"/>
      <c r="L49" s="26"/>
      <c r="M49" s="22"/>
      <c r="N49" s="22"/>
    </row>
    <row r="50" spans="1:14" x14ac:dyDescent="0.3">
      <c r="A50" s="21"/>
      <c r="B50" s="22"/>
      <c r="C50" s="23"/>
      <c r="D50" s="23"/>
      <c r="E50" s="23"/>
      <c r="F50" s="24"/>
      <c r="G50" s="24"/>
      <c r="H50" s="24"/>
      <c r="I50" s="23"/>
      <c r="J50" s="24"/>
      <c r="K50" s="25"/>
      <c r="L50" s="26"/>
      <c r="M50" s="22"/>
      <c r="N50" s="22"/>
    </row>
    <row r="51" spans="1:14" x14ac:dyDescent="0.3">
      <c r="A51" s="27"/>
      <c r="B51" s="28"/>
      <c r="C51" s="243"/>
      <c r="D51" s="243"/>
      <c r="E51" s="243"/>
      <c r="F51" s="245"/>
      <c r="G51" s="245"/>
      <c r="H51" s="245"/>
      <c r="I51" s="243"/>
      <c r="J51" s="245"/>
      <c r="K51" s="29"/>
      <c r="L51" s="248"/>
      <c r="M51" s="28"/>
      <c r="N51" s="28"/>
    </row>
    <row r="52" spans="1:14" ht="15" thickBot="1" x14ac:dyDescent="0.35"/>
    <row r="53" spans="1:14" s="249" customFormat="1" ht="18.600000000000001" thickBot="1" x14ac:dyDescent="0.4">
      <c r="A53" s="250" t="str">
        <f>IF(E53="T01D","LS Hoth Results",IF(E53="T02D","DS Hoth Results",IF(E53="T03D","LS Geonosis Results",IF(E53="T04D","LS Geonosis Results","Territory Battle Results"))))</f>
        <v>Territory Battle Results</v>
      </c>
      <c r="B53" s="251"/>
      <c r="C53" s="251"/>
      <c r="D53" s="251"/>
      <c r="E53" s="269"/>
    </row>
    <row r="54" spans="1:14" ht="16.2" thickTop="1" x14ac:dyDescent="0.3">
      <c r="A54" s="256" t="str">
        <f>IF(A53="LS Geonosis Results","Ki-Adi-Mundi Shards",IF(A53="DS Geonosis Results","Wat Tambor Shards",IF(A53="LS Hoth Results","ROLO Shards",IF(A53="DS Hoth Results","IPD Shards","Unit Exclusive Shards"))))</f>
        <v>Unit Exclusive Shards</v>
      </c>
      <c r="B54" s="257">
        <f>COUNTIF(N2:N51,"Y")</f>
        <v>0</v>
      </c>
      <c r="C54" s="258" t="s">
        <v>172</v>
      </c>
      <c r="D54" s="259"/>
      <c r="E54" s="252"/>
    </row>
    <row r="55" spans="1:14" x14ac:dyDescent="0.3">
      <c r="A55" s="260" t="s">
        <v>170</v>
      </c>
      <c r="B55" s="124" t="s">
        <v>88</v>
      </c>
      <c r="C55" s="125" t="s">
        <v>90</v>
      </c>
      <c r="D55" s="261" t="s">
        <v>171</v>
      </c>
      <c r="E55" s="252"/>
    </row>
    <row r="56" spans="1:14" x14ac:dyDescent="0.3">
      <c r="A56" s="262" t="s">
        <v>99</v>
      </c>
      <c r="B56" s="132">
        <f>SUM('Phase 1'!E2:E51)</f>
        <v>0</v>
      </c>
      <c r="C56" s="132">
        <f>SUM('Phase 1'!G2:G51)</f>
        <v>0</v>
      </c>
      <c r="D56" s="263">
        <f>SUM('Phase 1'!J2:J51)</f>
        <v>0</v>
      </c>
      <c r="E56" s="252"/>
    </row>
    <row r="57" spans="1:14" x14ac:dyDescent="0.3">
      <c r="A57" s="264" t="s">
        <v>100</v>
      </c>
      <c r="B57" s="133">
        <f>SUM('Phase 2'!E2:E51)</f>
        <v>0</v>
      </c>
      <c r="C57" s="133">
        <f>SUM('Phase 2'!G2:G51)</f>
        <v>0</v>
      </c>
      <c r="D57" s="265">
        <f>SUM('Phase 2'!J2:J51)</f>
        <v>0</v>
      </c>
      <c r="E57" s="252"/>
    </row>
    <row r="58" spans="1:14" x14ac:dyDescent="0.3">
      <c r="A58" s="262" t="s">
        <v>101</v>
      </c>
      <c r="B58" s="132">
        <f>SUM('Phase 3'!E2:E51)</f>
        <v>0</v>
      </c>
      <c r="C58" s="132">
        <f>SUM('Phase 3'!G2:G51)</f>
        <v>0</v>
      </c>
      <c r="D58" s="263">
        <f>SUM('Phase 3'!J2:J51)</f>
        <v>0</v>
      </c>
      <c r="E58" s="252"/>
    </row>
    <row r="59" spans="1:14" x14ac:dyDescent="0.3">
      <c r="A59" s="264" t="s">
        <v>102</v>
      </c>
      <c r="B59" s="133">
        <f>SUM('Phase 4'!E2:E51)</f>
        <v>0</v>
      </c>
      <c r="C59" s="133">
        <f>SUM('Phase 4'!G2:G51)</f>
        <v>0</v>
      </c>
      <c r="D59" s="265">
        <f>SUM('Phase 4'!J2:J51)</f>
        <v>0</v>
      </c>
      <c r="E59" s="252"/>
    </row>
    <row r="60" spans="1:14" x14ac:dyDescent="0.3">
      <c r="A60" s="262" t="str">
        <f>IF(ISBLANK('Phase 5'!A2),"","Phase 5")</f>
        <v/>
      </c>
      <c r="B60" s="132" t="str">
        <f>IF(ISBLANK('Phase 5'!A2),"",SUM('Phase 5'!E2:E51))</f>
        <v/>
      </c>
      <c r="C60" s="132" t="str">
        <f>IF(ISBLANK('Phase 5'!A2),"",SUM('Phase 5'!G2:G51))</f>
        <v/>
      </c>
      <c r="D60" s="263" t="str">
        <f>IF(ISBLANK('Phase 5'!A2),"",SUM('Phase 5'!J2:J51))</f>
        <v/>
      </c>
      <c r="E60" s="252"/>
    </row>
    <row r="61" spans="1:14" ht="15" thickBot="1" x14ac:dyDescent="0.35">
      <c r="A61" s="266" t="str">
        <f>IF(ISBLANK('Phase 6'!A2),"","Phase 6")</f>
        <v/>
      </c>
      <c r="B61" s="267" t="str">
        <f>IF(ISBLANK('Phase 6'!A2),"",SUM('Phase 6'!E2:E51))</f>
        <v/>
      </c>
      <c r="C61" s="267" t="str">
        <f>IF(ISBLANK('Phase 6'!A2),"",SUM('Phase 6'!G2:G51))</f>
        <v/>
      </c>
      <c r="D61" s="268" t="str">
        <f>IF(ISBLANK('Phase 6'!A2),"",SUM('Phase 6'!J2:J51))</f>
        <v/>
      </c>
      <c r="E61" s="252"/>
    </row>
    <row r="62" spans="1:14" ht="15.6" thickTop="1" thickBot="1" x14ac:dyDescent="0.35">
      <c r="A62" s="254"/>
      <c r="B62" s="254"/>
      <c r="C62" s="255"/>
      <c r="D62" s="255"/>
      <c r="E62" s="253"/>
    </row>
  </sheetData>
  <sortState ref="A3:N51">
    <sortCondition ref="A2:A51"/>
  </sortState>
  <mergeCells count="1">
    <mergeCell ref="A53:D53"/>
  </mergeCells>
  <conditionalFormatting sqref="K2:K51">
    <cfRule type="cellIs" dxfId="42" priority="2" operator="equal">
      <formula>0</formula>
    </cfRule>
    <cfRule type="cellIs" dxfId="41" priority="5" operator="lessThan">
      <formula>J2</formula>
    </cfRule>
    <cfRule type="cellIs" dxfId="40" priority="6" operator="equal">
      <formula>0</formula>
    </cfRule>
  </conditionalFormatting>
  <conditionalFormatting sqref="L2:L51">
    <cfRule type="cellIs" dxfId="39" priority="4" operator="greaterThan">
      <formula>0</formula>
    </cfRule>
  </conditionalFormatting>
  <conditionalFormatting sqref="J2:J51">
    <cfRule type="cellIs" dxfId="38" priority="3" operator="equal">
      <formula>0</formula>
    </cfRule>
  </conditionalFormatting>
  <conditionalFormatting sqref="A60:D61">
    <cfRule type="containsBlanks" dxfId="37" priority="1">
      <formula>LEN(TRIM(A60))=0</formula>
    </cfRule>
  </conditionalFormatting>
  <pageMargins left="0.25" right="0.25" top="0.75" bottom="0.75" header="0.3" footer="0.3"/>
  <pageSetup scale="82" orientation="portrait" horizontalDpi="300" verticalDpi="30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O51"/>
  <sheetViews>
    <sheetView zoomScaleNormal="100" zoomScaleSheetLayoutView="80" workbookViewId="0">
      <selection activeCell="A3" sqref="A3:O51"/>
    </sheetView>
  </sheetViews>
  <sheetFormatPr defaultRowHeight="14.4" x14ac:dyDescent="0.3"/>
  <cols>
    <col min="1" max="1" width="18.77734375" bestFit="1" customWidth="1"/>
    <col min="2" max="2" width="13.33203125" bestFit="1" customWidth="1"/>
    <col min="3" max="4" width="14" customWidth="1"/>
    <col min="5" max="5" width="16.21875" bestFit="1" customWidth="1"/>
    <col min="6" max="7" width="14" customWidth="1"/>
    <col min="8" max="8" width="15.88671875" customWidth="1"/>
    <col min="9" max="9" width="14.109375" customWidth="1"/>
    <col min="10" max="10" width="15" customWidth="1"/>
    <col min="11" max="11" width="15.109375" customWidth="1"/>
    <col min="12" max="12" width="9.6640625" customWidth="1"/>
    <col min="13" max="13" width="10.5546875" bestFit="1" customWidth="1"/>
    <col min="14" max="14" width="10.5546875" customWidth="1"/>
  </cols>
  <sheetData>
    <row r="1" spans="1:15" s="31" customFormat="1"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143"/>
      <c r="O2" s="14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134"/>
      <c r="B42" s="135"/>
      <c r="C42" s="135"/>
      <c r="D42" s="135"/>
      <c r="E42" s="136"/>
      <c r="F42" s="136"/>
      <c r="G42" s="136"/>
      <c r="H42" s="136"/>
      <c r="I42" s="136"/>
      <c r="J42" s="136"/>
      <c r="K42" s="136"/>
      <c r="L42" s="137"/>
      <c r="M42" s="138"/>
      <c r="N42" s="138"/>
      <c r="O42" s="139"/>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sortState ref="A3:O51">
    <sortCondition ref="A2:A51"/>
  </sortState>
  <conditionalFormatting sqref="J2:J51">
    <cfRule type="cellIs" dxfId="36" priority="1" operator="equal">
      <formula>0</formula>
    </cfRule>
  </conditionalFormatting>
  <pageMargins left="0.25" right="0.25" top="0.75" bottom="0.75" header="0.3" footer="0.3"/>
  <pageSetup scale="51"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51"/>
  <sheetViews>
    <sheetView zoomScaleNormal="100" workbookViewId="0">
      <selection activeCell="C18" sqref="C18"/>
    </sheetView>
  </sheetViews>
  <sheetFormatPr defaultRowHeight="14.4" x14ac:dyDescent="0.3"/>
  <cols>
    <col min="1" max="1" width="18.77734375" bestFit="1" customWidth="1"/>
    <col min="2" max="2" width="13.33203125" bestFit="1"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s="31" customFormat="1"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143"/>
      <c r="O2" s="14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sortState ref="A3:O51">
    <sortCondition ref="A2:A51"/>
  </sortState>
  <conditionalFormatting sqref="J2:J51">
    <cfRule type="cellIs" dxfId="35" priority="1" operator="equal">
      <formula>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1"/>
  <sheetViews>
    <sheetView zoomScaleNormal="100" workbookViewId="0">
      <selection activeCell="A3" sqref="A3:O51"/>
    </sheetView>
  </sheetViews>
  <sheetFormatPr defaultRowHeight="14.4" x14ac:dyDescent="0.3"/>
  <cols>
    <col min="1" max="1" width="18.77734375" bestFit="1" customWidth="1"/>
    <col min="2" max="2" width="13.33203125" bestFit="1"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s="31" customFormat="1"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143"/>
      <c r="O2" s="14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sortState ref="A3:O51">
    <sortCondition ref="A2:A51"/>
  </sortState>
  <conditionalFormatting sqref="J2:J51">
    <cfRule type="cellIs" dxfId="34" priority="1" operator="equal">
      <formula>0</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51"/>
  <sheetViews>
    <sheetView zoomScaleNormal="100" workbookViewId="0">
      <selection activeCell="A3" sqref="A3:O51"/>
    </sheetView>
  </sheetViews>
  <sheetFormatPr defaultRowHeight="14.4" x14ac:dyDescent="0.3"/>
  <cols>
    <col min="1" max="1" width="18.77734375" bestFit="1" customWidth="1"/>
    <col min="2" max="2" width="13.33203125" bestFit="1"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s="31" customFormat="1"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143"/>
      <c r="O2" s="14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126"/>
      <c r="B51" s="127"/>
      <c r="C51" s="127"/>
      <c r="D51" s="127"/>
      <c r="E51" s="128"/>
      <c r="F51" s="128"/>
      <c r="G51" s="128"/>
      <c r="H51" s="128"/>
      <c r="I51" s="128"/>
      <c r="J51" s="128"/>
      <c r="K51" s="128"/>
      <c r="L51" s="129"/>
      <c r="M51" s="130"/>
      <c r="N51" s="130"/>
      <c r="O51" s="131"/>
    </row>
  </sheetData>
  <sortState ref="A3:O51">
    <sortCondition ref="A2:A51"/>
  </sortState>
  <conditionalFormatting sqref="J2:J51">
    <cfRule type="cellIs" dxfId="33" priority="1" operator="equal">
      <formula>0</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1"/>
  <sheetViews>
    <sheetView zoomScaleNormal="100" workbookViewId="0">
      <selection activeCell="C17" sqref="C17"/>
    </sheetView>
  </sheetViews>
  <sheetFormatPr defaultRowHeight="14.4" x14ac:dyDescent="0.3"/>
  <cols>
    <col min="1" max="1" width="18.77734375" customWidth="1"/>
    <col min="2" max="2" width="13.33203125"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customWidth="1"/>
    <col min="13" max="13" width="10.5546875" bestFit="1" customWidth="1"/>
    <col min="14" max="14" width="10.5546875" customWidth="1"/>
  </cols>
  <sheetData>
    <row r="1" spans="1:15"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33"/>
      <c r="O2" s="3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61"/>
    </row>
    <row r="46" spans="1:15" x14ac:dyDescent="0.3">
      <c r="A46" s="21"/>
      <c r="B46" s="22"/>
      <c r="C46" s="22"/>
      <c r="D46" s="22"/>
      <c r="E46" s="25"/>
      <c r="F46" s="25"/>
      <c r="G46" s="25"/>
      <c r="H46" s="25"/>
      <c r="I46" s="25"/>
      <c r="J46" s="25"/>
      <c r="K46" s="25"/>
      <c r="L46" s="32"/>
      <c r="M46" s="33"/>
      <c r="N46" s="33"/>
      <c r="O46" s="61"/>
    </row>
    <row r="47" spans="1:15" x14ac:dyDescent="0.3">
      <c r="A47" s="21"/>
      <c r="B47" s="22"/>
      <c r="C47" s="22"/>
      <c r="D47" s="22"/>
      <c r="E47" s="25"/>
      <c r="F47" s="25"/>
      <c r="G47" s="25"/>
      <c r="H47" s="25"/>
      <c r="I47" s="25"/>
      <c r="J47" s="25"/>
      <c r="K47" s="25"/>
      <c r="L47" s="32"/>
      <c r="M47" s="33"/>
      <c r="N47" s="33"/>
      <c r="O47" s="61"/>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conditionalFormatting sqref="J2:J51">
    <cfRule type="cellIs" dxfId="32" priority="1" operator="equal">
      <formula>0</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51"/>
  <sheetViews>
    <sheetView zoomScaleNormal="100" workbookViewId="0">
      <selection activeCell="E18" sqref="E18"/>
    </sheetView>
  </sheetViews>
  <sheetFormatPr defaultRowHeight="14.4" x14ac:dyDescent="0.3"/>
  <cols>
    <col min="1" max="1" width="18.77734375" bestFit="1" customWidth="1"/>
    <col min="2" max="2" width="13.33203125" customWidth="1"/>
    <col min="3" max="4" width="14" customWidth="1"/>
    <col min="5" max="5" width="16.21875" bestFit="1" customWidth="1"/>
    <col min="6" max="6" width="14" customWidth="1"/>
    <col min="7" max="7" width="14" bestFit="1" customWidth="1"/>
    <col min="8" max="8" width="15.88671875" customWidth="1"/>
    <col min="9" max="9" width="14.109375" customWidth="1"/>
    <col min="10" max="10" width="15" customWidth="1"/>
    <col min="11" max="11" width="15.109375" customWidth="1"/>
    <col min="12" max="12" width="9.6640625" bestFit="1" customWidth="1"/>
    <col min="13" max="13" width="10.5546875" bestFit="1" customWidth="1"/>
    <col min="14" max="14" width="10.5546875" customWidth="1"/>
  </cols>
  <sheetData>
    <row r="1" spans="1:15" ht="28.8" x14ac:dyDescent="0.3">
      <c r="A1" s="145" t="s">
        <v>72</v>
      </c>
      <c r="B1" s="146" t="s">
        <v>73</v>
      </c>
      <c r="C1" s="146" t="s">
        <v>86</v>
      </c>
      <c r="D1" s="146" t="s">
        <v>87</v>
      </c>
      <c r="E1" s="146" t="s">
        <v>88</v>
      </c>
      <c r="F1" s="146" t="s">
        <v>89</v>
      </c>
      <c r="G1" s="146" t="s">
        <v>90</v>
      </c>
      <c r="H1" s="146" t="s">
        <v>91</v>
      </c>
      <c r="I1" s="146" t="s">
        <v>79</v>
      </c>
      <c r="J1" s="146" t="s">
        <v>92</v>
      </c>
      <c r="K1" s="146" t="s">
        <v>93</v>
      </c>
      <c r="L1" s="147" t="s">
        <v>94</v>
      </c>
      <c r="M1" s="147" t="s">
        <v>95</v>
      </c>
      <c r="N1" s="147" t="s">
        <v>78</v>
      </c>
      <c r="O1" s="146" t="s">
        <v>96</v>
      </c>
    </row>
    <row r="2" spans="1:15" x14ac:dyDescent="0.3">
      <c r="A2" s="21"/>
      <c r="B2" s="22"/>
      <c r="C2" s="22"/>
      <c r="D2" s="22"/>
      <c r="E2" s="25"/>
      <c r="F2" s="25"/>
      <c r="G2" s="25"/>
      <c r="H2" s="25"/>
      <c r="I2" s="25"/>
      <c r="J2" s="25"/>
      <c r="K2" s="25"/>
      <c r="L2" s="32"/>
      <c r="M2" s="33"/>
      <c r="N2" s="143"/>
      <c r="O2" s="144"/>
    </row>
    <row r="3" spans="1:15" x14ac:dyDescent="0.3">
      <c r="A3" s="21"/>
      <c r="B3" s="22"/>
      <c r="C3" s="22"/>
      <c r="D3" s="22"/>
      <c r="E3" s="25"/>
      <c r="F3" s="25"/>
      <c r="G3" s="25"/>
      <c r="H3" s="25"/>
      <c r="I3" s="25"/>
      <c r="J3" s="25"/>
      <c r="K3" s="25"/>
      <c r="L3" s="32"/>
      <c r="M3" s="33"/>
      <c r="N3" s="33"/>
      <c r="O3" s="34"/>
    </row>
    <row r="4" spans="1:15" x14ac:dyDescent="0.3">
      <c r="A4" s="21"/>
      <c r="B4" s="22"/>
      <c r="C4" s="22"/>
      <c r="D4" s="22"/>
      <c r="E4" s="25"/>
      <c r="F4" s="25"/>
      <c r="G4" s="25"/>
      <c r="H4" s="25"/>
      <c r="I4" s="25"/>
      <c r="J4" s="25"/>
      <c r="K4" s="25"/>
      <c r="L4" s="32"/>
      <c r="M4" s="33"/>
      <c r="N4" s="33"/>
      <c r="O4" s="34"/>
    </row>
    <row r="5" spans="1:15" x14ac:dyDescent="0.3">
      <c r="A5" s="21"/>
      <c r="B5" s="22"/>
      <c r="C5" s="22"/>
      <c r="D5" s="22"/>
      <c r="E5" s="25"/>
      <c r="F5" s="25"/>
      <c r="G5" s="25"/>
      <c r="H5" s="25"/>
      <c r="I5" s="25"/>
      <c r="J5" s="25"/>
      <c r="K5" s="25"/>
      <c r="L5" s="32"/>
      <c r="M5" s="33"/>
      <c r="N5" s="33"/>
      <c r="O5" s="34"/>
    </row>
    <row r="6" spans="1:15" x14ac:dyDescent="0.3">
      <c r="A6" s="21"/>
      <c r="B6" s="22"/>
      <c r="C6" s="22"/>
      <c r="D6" s="22"/>
      <c r="E6" s="25"/>
      <c r="F6" s="25"/>
      <c r="G6" s="25"/>
      <c r="H6" s="25"/>
      <c r="I6" s="25"/>
      <c r="J6" s="25"/>
      <c r="K6" s="25"/>
      <c r="L6" s="32"/>
      <c r="M6" s="33"/>
      <c r="N6" s="33"/>
      <c r="O6" s="34"/>
    </row>
    <row r="7" spans="1:15" x14ac:dyDescent="0.3">
      <c r="A7" s="21"/>
      <c r="B7" s="22"/>
      <c r="C7" s="22"/>
      <c r="D7" s="22"/>
      <c r="E7" s="25"/>
      <c r="F7" s="25"/>
      <c r="G7" s="25"/>
      <c r="H7" s="25"/>
      <c r="I7" s="25"/>
      <c r="J7" s="25"/>
      <c r="K7" s="25"/>
      <c r="L7" s="32"/>
      <c r="M7" s="33"/>
      <c r="N7" s="33"/>
      <c r="O7" s="34"/>
    </row>
    <row r="8" spans="1:15" x14ac:dyDescent="0.3">
      <c r="A8" s="21"/>
      <c r="B8" s="22"/>
      <c r="C8" s="22"/>
      <c r="D8" s="22"/>
      <c r="E8" s="25"/>
      <c r="F8" s="25"/>
      <c r="G8" s="25"/>
      <c r="H8" s="25"/>
      <c r="I8" s="25"/>
      <c r="J8" s="25"/>
      <c r="K8" s="25"/>
      <c r="L8" s="32"/>
      <c r="M8" s="33"/>
      <c r="N8" s="33"/>
      <c r="O8" s="34"/>
    </row>
    <row r="9" spans="1:15" x14ac:dyDescent="0.3">
      <c r="A9" s="21"/>
      <c r="B9" s="22"/>
      <c r="C9" s="22"/>
      <c r="D9" s="22"/>
      <c r="E9" s="25"/>
      <c r="F9" s="25"/>
      <c r="G9" s="25"/>
      <c r="H9" s="25"/>
      <c r="I9" s="25"/>
      <c r="J9" s="25"/>
      <c r="K9" s="25"/>
      <c r="L9" s="32"/>
      <c r="M9" s="33"/>
      <c r="N9" s="33"/>
      <c r="O9" s="34"/>
    </row>
    <row r="10" spans="1:15" x14ac:dyDescent="0.3">
      <c r="A10" s="21"/>
      <c r="B10" s="22"/>
      <c r="C10" s="22"/>
      <c r="D10" s="22"/>
      <c r="E10" s="25"/>
      <c r="F10" s="25"/>
      <c r="G10" s="25"/>
      <c r="H10" s="25"/>
      <c r="I10" s="25"/>
      <c r="J10" s="25"/>
      <c r="K10" s="25"/>
      <c r="L10" s="32"/>
      <c r="M10" s="33"/>
      <c r="N10" s="33"/>
      <c r="O10" s="34"/>
    </row>
    <row r="11" spans="1:15" x14ac:dyDescent="0.3">
      <c r="A11" s="21"/>
      <c r="B11" s="22"/>
      <c r="C11" s="22"/>
      <c r="D11" s="22"/>
      <c r="E11" s="25"/>
      <c r="F11" s="25"/>
      <c r="G11" s="25"/>
      <c r="H11" s="25"/>
      <c r="I11" s="25"/>
      <c r="J11" s="25"/>
      <c r="K11" s="25"/>
      <c r="L11" s="32"/>
      <c r="M11" s="33"/>
      <c r="N11" s="33"/>
      <c r="O11" s="34"/>
    </row>
    <row r="12" spans="1:15" x14ac:dyDescent="0.3">
      <c r="A12" s="21"/>
      <c r="B12" s="22"/>
      <c r="C12" s="22"/>
      <c r="D12" s="22"/>
      <c r="E12" s="25"/>
      <c r="F12" s="25"/>
      <c r="G12" s="25"/>
      <c r="H12" s="25"/>
      <c r="I12" s="25"/>
      <c r="J12" s="25"/>
      <c r="K12" s="25"/>
      <c r="L12" s="32"/>
      <c r="M12" s="33"/>
      <c r="N12" s="33"/>
      <c r="O12" s="34"/>
    </row>
    <row r="13" spans="1:15" x14ac:dyDescent="0.3">
      <c r="A13" s="21"/>
      <c r="B13" s="22"/>
      <c r="C13" s="22"/>
      <c r="D13" s="22"/>
      <c r="E13" s="25"/>
      <c r="F13" s="25"/>
      <c r="G13" s="25"/>
      <c r="H13" s="25"/>
      <c r="I13" s="25"/>
      <c r="J13" s="25"/>
      <c r="K13" s="25"/>
      <c r="L13" s="32"/>
      <c r="M13" s="33"/>
      <c r="N13" s="33"/>
      <c r="O13" s="34"/>
    </row>
    <row r="14" spans="1:15" x14ac:dyDescent="0.3">
      <c r="A14" s="21"/>
      <c r="B14" s="22"/>
      <c r="C14" s="22"/>
      <c r="D14" s="22"/>
      <c r="E14" s="25"/>
      <c r="F14" s="25"/>
      <c r="G14" s="25"/>
      <c r="H14" s="25"/>
      <c r="I14" s="25"/>
      <c r="J14" s="25"/>
      <c r="K14" s="25"/>
      <c r="L14" s="32"/>
      <c r="M14" s="33"/>
      <c r="N14" s="33"/>
      <c r="O14" s="34"/>
    </row>
    <row r="15" spans="1:15" x14ac:dyDescent="0.3">
      <c r="A15" s="21"/>
      <c r="B15" s="22"/>
      <c r="C15" s="22"/>
      <c r="D15" s="22"/>
      <c r="E15" s="25"/>
      <c r="F15" s="25"/>
      <c r="G15" s="25"/>
      <c r="H15" s="25"/>
      <c r="I15" s="25"/>
      <c r="J15" s="25"/>
      <c r="K15" s="25"/>
      <c r="L15" s="32"/>
      <c r="M15" s="33"/>
      <c r="N15" s="33"/>
      <c r="O15" s="34"/>
    </row>
    <row r="16" spans="1:15" x14ac:dyDescent="0.3">
      <c r="A16" s="21"/>
      <c r="B16" s="22"/>
      <c r="C16" s="22"/>
      <c r="D16" s="22"/>
      <c r="E16" s="25"/>
      <c r="F16" s="25"/>
      <c r="G16" s="25"/>
      <c r="H16" s="25"/>
      <c r="I16" s="25"/>
      <c r="J16" s="25"/>
      <c r="K16" s="25"/>
      <c r="L16" s="32"/>
      <c r="M16" s="33"/>
      <c r="N16" s="33"/>
      <c r="O16" s="34"/>
    </row>
    <row r="17" spans="1:15" x14ac:dyDescent="0.3">
      <c r="A17" s="21"/>
      <c r="B17" s="22"/>
      <c r="C17" s="22"/>
      <c r="D17" s="22"/>
      <c r="E17" s="25"/>
      <c r="F17" s="25"/>
      <c r="G17" s="25"/>
      <c r="H17" s="25"/>
      <c r="I17" s="25"/>
      <c r="J17" s="25"/>
      <c r="K17" s="25"/>
      <c r="L17" s="32"/>
      <c r="M17" s="33"/>
      <c r="N17" s="33"/>
      <c r="O17" s="34"/>
    </row>
    <row r="18" spans="1:15" x14ac:dyDescent="0.3">
      <c r="A18" s="21"/>
      <c r="B18" s="22"/>
      <c r="C18" s="22"/>
      <c r="D18" s="22"/>
      <c r="E18" s="25"/>
      <c r="F18" s="25"/>
      <c r="G18" s="25"/>
      <c r="H18" s="25"/>
      <c r="I18" s="25"/>
      <c r="J18" s="25"/>
      <c r="K18" s="25"/>
      <c r="L18" s="32"/>
      <c r="M18" s="33"/>
      <c r="N18" s="33"/>
      <c r="O18" s="34"/>
    </row>
    <row r="19" spans="1:15" x14ac:dyDescent="0.3">
      <c r="A19" s="21"/>
      <c r="B19" s="22"/>
      <c r="C19" s="22"/>
      <c r="D19" s="22"/>
      <c r="E19" s="25"/>
      <c r="F19" s="25"/>
      <c r="G19" s="25"/>
      <c r="H19" s="25"/>
      <c r="I19" s="25"/>
      <c r="J19" s="25"/>
      <c r="K19" s="25"/>
      <c r="L19" s="32"/>
      <c r="M19" s="33"/>
      <c r="N19" s="33"/>
      <c r="O19" s="34"/>
    </row>
    <row r="20" spans="1:15" x14ac:dyDescent="0.3">
      <c r="A20" s="21"/>
      <c r="B20" s="22"/>
      <c r="C20" s="22"/>
      <c r="D20" s="22"/>
      <c r="E20" s="25"/>
      <c r="F20" s="25"/>
      <c r="G20" s="25"/>
      <c r="H20" s="25"/>
      <c r="I20" s="25"/>
      <c r="J20" s="25"/>
      <c r="K20" s="25"/>
      <c r="L20" s="32"/>
      <c r="M20" s="33"/>
      <c r="N20" s="33"/>
      <c r="O20" s="34"/>
    </row>
    <row r="21" spans="1:15" x14ac:dyDescent="0.3">
      <c r="A21" s="21"/>
      <c r="B21" s="22"/>
      <c r="C21" s="22"/>
      <c r="D21" s="22"/>
      <c r="E21" s="25"/>
      <c r="F21" s="25"/>
      <c r="G21" s="25"/>
      <c r="H21" s="25"/>
      <c r="I21" s="25"/>
      <c r="J21" s="25"/>
      <c r="K21" s="25"/>
      <c r="L21" s="32"/>
      <c r="M21" s="33"/>
      <c r="N21" s="33"/>
      <c r="O21" s="34"/>
    </row>
    <row r="22" spans="1:15" x14ac:dyDescent="0.3">
      <c r="A22" s="21"/>
      <c r="B22" s="22"/>
      <c r="C22" s="22"/>
      <c r="D22" s="22"/>
      <c r="E22" s="25"/>
      <c r="F22" s="25"/>
      <c r="G22" s="25"/>
      <c r="H22" s="25"/>
      <c r="I22" s="25"/>
      <c r="J22" s="25"/>
      <c r="K22" s="25"/>
      <c r="L22" s="32"/>
      <c r="M22" s="33"/>
      <c r="N22" s="33"/>
      <c r="O22" s="34"/>
    </row>
    <row r="23" spans="1:15" x14ac:dyDescent="0.3">
      <c r="A23" s="21"/>
      <c r="B23" s="22"/>
      <c r="C23" s="22"/>
      <c r="D23" s="22"/>
      <c r="E23" s="25"/>
      <c r="F23" s="25"/>
      <c r="G23" s="25"/>
      <c r="H23" s="25"/>
      <c r="I23" s="25"/>
      <c r="J23" s="25"/>
      <c r="K23" s="25"/>
      <c r="L23" s="32"/>
      <c r="M23" s="33"/>
      <c r="N23" s="33"/>
      <c r="O23" s="34"/>
    </row>
    <row r="24" spans="1:15" x14ac:dyDescent="0.3">
      <c r="A24" s="21"/>
      <c r="B24" s="22"/>
      <c r="C24" s="22"/>
      <c r="D24" s="22"/>
      <c r="E24" s="25"/>
      <c r="F24" s="25"/>
      <c r="G24" s="25"/>
      <c r="H24" s="25"/>
      <c r="I24" s="25"/>
      <c r="J24" s="25"/>
      <c r="K24" s="25"/>
      <c r="L24" s="32"/>
      <c r="M24" s="33"/>
      <c r="N24" s="33"/>
      <c r="O24" s="34"/>
    </row>
    <row r="25" spans="1:15" x14ac:dyDescent="0.3">
      <c r="A25" s="21"/>
      <c r="B25" s="22"/>
      <c r="C25" s="22"/>
      <c r="D25" s="22"/>
      <c r="E25" s="25"/>
      <c r="F25" s="25"/>
      <c r="G25" s="25"/>
      <c r="H25" s="25"/>
      <c r="I25" s="25"/>
      <c r="J25" s="25"/>
      <c r="K25" s="25"/>
      <c r="L25" s="32"/>
      <c r="M25" s="33"/>
      <c r="N25" s="33"/>
      <c r="O25" s="34"/>
    </row>
    <row r="26" spans="1:15" x14ac:dyDescent="0.3">
      <c r="A26" s="21"/>
      <c r="B26" s="22"/>
      <c r="C26" s="22"/>
      <c r="D26" s="22"/>
      <c r="E26" s="25"/>
      <c r="F26" s="25"/>
      <c r="G26" s="25"/>
      <c r="H26" s="25"/>
      <c r="I26" s="25"/>
      <c r="J26" s="25"/>
      <c r="K26" s="25"/>
      <c r="L26" s="32"/>
      <c r="M26" s="33"/>
      <c r="N26" s="33"/>
      <c r="O26" s="34"/>
    </row>
    <row r="27" spans="1:15" x14ac:dyDescent="0.3">
      <c r="A27" s="21"/>
      <c r="B27" s="22"/>
      <c r="C27" s="22"/>
      <c r="D27" s="22"/>
      <c r="E27" s="25"/>
      <c r="F27" s="25"/>
      <c r="G27" s="25"/>
      <c r="H27" s="25"/>
      <c r="I27" s="25"/>
      <c r="J27" s="25"/>
      <c r="K27" s="25"/>
      <c r="L27" s="32"/>
      <c r="M27" s="33"/>
      <c r="N27" s="33"/>
      <c r="O27" s="34"/>
    </row>
    <row r="28" spans="1:15" x14ac:dyDescent="0.3">
      <c r="A28" s="21"/>
      <c r="B28" s="22"/>
      <c r="C28" s="22"/>
      <c r="D28" s="22"/>
      <c r="E28" s="25"/>
      <c r="F28" s="25"/>
      <c r="G28" s="25"/>
      <c r="H28" s="25"/>
      <c r="I28" s="25"/>
      <c r="J28" s="25"/>
      <c r="K28" s="25"/>
      <c r="L28" s="32"/>
      <c r="M28" s="33"/>
      <c r="N28" s="33"/>
      <c r="O28" s="34"/>
    </row>
    <row r="29" spans="1:15" x14ac:dyDescent="0.3">
      <c r="A29" s="21"/>
      <c r="B29" s="22"/>
      <c r="C29" s="22"/>
      <c r="D29" s="22"/>
      <c r="E29" s="25"/>
      <c r="F29" s="25"/>
      <c r="G29" s="25"/>
      <c r="H29" s="25"/>
      <c r="I29" s="25"/>
      <c r="J29" s="25"/>
      <c r="K29" s="25"/>
      <c r="L29" s="32"/>
      <c r="M29" s="33"/>
      <c r="N29" s="33"/>
      <c r="O29" s="34"/>
    </row>
    <row r="30" spans="1:15" x14ac:dyDescent="0.3">
      <c r="A30" s="21"/>
      <c r="B30" s="22"/>
      <c r="C30" s="22"/>
      <c r="D30" s="22"/>
      <c r="E30" s="25"/>
      <c r="F30" s="25"/>
      <c r="G30" s="25"/>
      <c r="H30" s="25"/>
      <c r="I30" s="25"/>
      <c r="J30" s="25"/>
      <c r="K30" s="25"/>
      <c r="L30" s="32"/>
      <c r="M30" s="33"/>
      <c r="N30" s="33"/>
      <c r="O30" s="34"/>
    </row>
    <row r="31" spans="1:15" x14ac:dyDescent="0.3">
      <c r="A31" s="21"/>
      <c r="B31" s="22"/>
      <c r="C31" s="22"/>
      <c r="D31" s="22"/>
      <c r="E31" s="25"/>
      <c r="F31" s="25"/>
      <c r="G31" s="25"/>
      <c r="H31" s="25"/>
      <c r="I31" s="25"/>
      <c r="J31" s="25"/>
      <c r="K31" s="25"/>
      <c r="L31" s="32"/>
      <c r="M31" s="33"/>
      <c r="N31" s="33"/>
      <c r="O31" s="34"/>
    </row>
    <row r="32" spans="1:15" x14ac:dyDescent="0.3">
      <c r="A32" s="21"/>
      <c r="B32" s="22"/>
      <c r="C32" s="22"/>
      <c r="D32" s="22"/>
      <c r="E32" s="25"/>
      <c r="F32" s="25"/>
      <c r="G32" s="25"/>
      <c r="H32" s="25"/>
      <c r="I32" s="25"/>
      <c r="J32" s="25"/>
      <c r="K32" s="25"/>
      <c r="L32" s="32"/>
      <c r="M32" s="33"/>
      <c r="N32" s="33"/>
      <c r="O32" s="34"/>
    </row>
    <row r="33" spans="1:15" x14ac:dyDescent="0.3">
      <c r="A33" s="21"/>
      <c r="B33" s="22"/>
      <c r="C33" s="22"/>
      <c r="D33" s="22"/>
      <c r="E33" s="25"/>
      <c r="F33" s="25"/>
      <c r="G33" s="25"/>
      <c r="H33" s="25"/>
      <c r="I33" s="25"/>
      <c r="J33" s="25"/>
      <c r="K33" s="25"/>
      <c r="L33" s="32"/>
      <c r="M33" s="33"/>
      <c r="N33" s="33"/>
      <c r="O33" s="34"/>
    </row>
    <row r="34" spans="1:15" x14ac:dyDescent="0.3">
      <c r="A34" s="21"/>
      <c r="B34" s="22"/>
      <c r="C34" s="22"/>
      <c r="D34" s="22"/>
      <c r="E34" s="25"/>
      <c r="F34" s="25"/>
      <c r="G34" s="25"/>
      <c r="H34" s="25"/>
      <c r="I34" s="25"/>
      <c r="J34" s="25"/>
      <c r="K34" s="25"/>
      <c r="L34" s="32"/>
      <c r="M34" s="33"/>
      <c r="N34" s="33"/>
      <c r="O34" s="34"/>
    </row>
    <row r="35" spans="1:15" x14ac:dyDescent="0.3">
      <c r="A35" s="21"/>
      <c r="B35" s="22"/>
      <c r="C35" s="22"/>
      <c r="D35" s="22"/>
      <c r="E35" s="25"/>
      <c r="F35" s="25"/>
      <c r="G35" s="25"/>
      <c r="H35" s="25"/>
      <c r="I35" s="25"/>
      <c r="J35" s="25"/>
      <c r="K35" s="25"/>
      <c r="L35" s="32"/>
      <c r="M35" s="33"/>
      <c r="N35" s="33"/>
      <c r="O35" s="34"/>
    </row>
    <row r="36" spans="1:15" x14ac:dyDescent="0.3">
      <c r="A36" s="21"/>
      <c r="B36" s="22"/>
      <c r="C36" s="22"/>
      <c r="D36" s="22"/>
      <c r="E36" s="25"/>
      <c r="F36" s="25"/>
      <c r="G36" s="25"/>
      <c r="H36" s="25"/>
      <c r="I36" s="25"/>
      <c r="J36" s="25"/>
      <c r="K36" s="25"/>
      <c r="L36" s="32"/>
      <c r="M36" s="33"/>
      <c r="N36" s="33"/>
      <c r="O36" s="34"/>
    </row>
    <row r="37" spans="1:15" x14ac:dyDescent="0.3">
      <c r="A37" s="21"/>
      <c r="B37" s="22"/>
      <c r="C37" s="22"/>
      <c r="D37" s="22"/>
      <c r="E37" s="25"/>
      <c r="F37" s="25"/>
      <c r="G37" s="25"/>
      <c r="H37" s="25"/>
      <c r="I37" s="25"/>
      <c r="J37" s="25"/>
      <c r="K37" s="25"/>
      <c r="L37" s="32"/>
      <c r="M37" s="33"/>
      <c r="N37" s="33"/>
      <c r="O37" s="34"/>
    </row>
    <row r="38" spans="1:15" x14ac:dyDescent="0.3">
      <c r="A38" s="21"/>
      <c r="B38" s="22"/>
      <c r="C38" s="22"/>
      <c r="D38" s="22"/>
      <c r="E38" s="25"/>
      <c r="F38" s="25"/>
      <c r="G38" s="25"/>
      <c r="H38" s="25"/>
      <c r="I38" s="25"/>
      <c r="J38" s="25"/>
      <c r="K38" s="25"/>
      <c r="L38" s="32"/>
      <c r="M38" s="33"/>
      <c r="N38" s="33"/>
      <c r="O38" s="34"/>
    </row>
    <row r="39" spans="1:15" x14ac:dyDescent="0.3">
      <c r="A39" s="21"/>
      <c r="B39" s="22"/>
      <c r="C39" s="22"/>
      <c r="D39" s="22"/>
      <c r="E39" s="25"/>
      <c r="F39" s="25"/>
      <c r="G39" s="25"/>
      <c r="H39" s="25"/>
      <c r="I39" s="25"/>
      <c r="J39" s="25"/>
      <c r="K39" s="25"/>
      <c r="L39" s="32"/>
      <c r="M39" s="33"/>
      <c r="N39" s="33"/>
      <c r="O39" s="34"/>
    </row>
    <row r="40" spans="1:15" x14ac:dyDescent="0.3">
      <c r="A40" s="21"/>
      <c r="B40" s="22"/>
      <c r="C40" s="22"/>
      <c r="D40" s="22"/>
      <c r="E40" s="25"/>
      <c r="F40" s="25"/>
      <c r="G40" s="25"/>
      <c r="H40" s="25"/>
      <c r="I40" s="25"/>
      <c r="J40" s="25"/>
      <c r="K40" s="25"/>
      <c r="L40" s="32"/>
      <c r="M40" s="33"/>
      <c r="N40" s="33"/>
      <c r="O40" s="34"/>
    </row>
    <row r="41" spans="1:15" x14ac:dyDescent="0.3">
      <c r="A41" s="21"/>
      <c r="B41" s="22"/>
      <c r="C41" s="22"/>
      <c r="D41" s="22"/>
      <c r="E41" s="25"/>
      <c r="F41" s="25"/>
      <c r="G41" s="25"/>
      <c r="H41" s="25"/>
      <c r="I41" s="25"/>
      <c r="J41" s="25"/>
      <c r="K41" s="25"/>
      <c r="L41" s="32"/>
      <c r="M41" s="33"/>
      <c r="N41" s="33"/>
      <c r="O41" s="34"/>
    </row>
    <row r="42" spans="1:15" x14ac:dyDescent="0.3">
      <c r="A42" s="21"/>
      <c r="B42" s="22"/>
      <c r="C42" s="22"/>
      <c r="D42" s="22"/>
      <c r="E42" s="25"/>
      <c r="F42" s="25"/>
      <c r="G42" s="25"/>
      <c r="H42" s="25"/>
      <c r="I42" s="25"/>
      <c r="J42" s="25"/>
      <c r="K42" s="25"/>
      <c r="L42" s="32"/>
      <c r="M42" s="33"/>
      <c r="N42" s="33"/>
      <c r="O42" s="34"/>
    </row>
    <row r="43" spans="1:15" x14ac:dyDescent="0.3">
      <c r="A43" s="21"/>
      <c r="B43" s="22"/>
      <c r="C43" s="22"/>
      <c r="D43" s="22"/>
      <c r="E43" s="25"/>
      <c r="F43" s="25"/>
      <c r="G43" s="25"/>
      <c r="H43" s="25"/>
      <c r="I43" s="25"/>
      <c r="J43" s="25"/>
      <c r="K43" s="25"/>
      <c r="L43" s="32"/>
      <c r="M43" s="33"/>
      <c r="N43" s="33"/>
      <c r="O43" s="34"/>
    </row>
    <row r="44" spans="1:15" x14ac:dyDescent="0.3">
      <c r="A44" s="21"/>
      <c r="B44" s="22"/>
      <c r="C44" s="22"/>
      <c r="D44" s="22"/>
      <c r="E44" s="25"/>
      <c r="F44" s="25"/>
      <c r="G44" s="25"/>
      <c r="H44" s="25"/>
      <c r="I44" s="25"/>
      <c r="J44" s="25"/>
      <c r="K44" s="25"/>
      <c r="L44" s="32"/>
      <c r="M44" s="33"/>
      <c r="N44" s="33"/>
      <c r="O44" s="34"/>
    </row>
    <row r="45" spans="1:15" x14ac:dyDescent="0.3">
      <c r="A45" s="21"/>
      <c r="B45" s="22"/>
      <c r="C45" s="22"/>
      <c r="D45" s="22"/>
      <c r="E45" s="25"/>
      <c r="F45" s="25"/>
      <c r="G45" s="25"/>
      <c r="H45" s="25"/>
      <c r="I45" s="25"/>
      <c r="J45" s="25"/>
      <c r="K45" s="25"/>
      <c r="L45" s="32"/>
      <c r="M45" s="33"/>
      <c r="N45" s="33"/>
      <c r="O45" s="34"/>
    </row>
    <row r="46" spans="1:15" x14ac:dyDescent="0.3">
      <c r="A46" s="21"/>
      <c r="B46" s="22"/>
      <c r="C46" s="22"/>
      <c r="D46" s="22"/>
      <c r="E46" s="25"/>
      <c r="F46" s="25"/>
      <c r="G46" s="25"/>
      <c r="H46" s="25"/>
      <c r="I46" s="25"/>
      <c r="J46" s="25"/>
      <c r="K46" s="25"/>
      <c r="L46" s="32"/>
      <c r="M46" s="33"/>
      <c r="N46" s="33"/>
      <c r="O46" s="34"/>
    </row>
    <row r="47" spans="1:15" x14ac:dyDescent="0.3">
      <c r="A47" s="21"/>
      <c r="B47" s="22"/>
      <c r="C47" s="22"/>
      <c r="D47" s="22"/>
      <c r="E47" s="25"/>
      <c r="F47" s="25"/>
      <c r="G47" s="25"/>
      <c r="H47" s="25"/>
      <c r="I47" s="25"/>
      <c r="J47" s="25"/>
      <c r="K47" s="25"/>
      <c r="L47" s="32"/>
      <c r="M47" s="33"/>
      <c r="N47" s="33"/>
      <c r="O47" s="34"/>
    </row>
    <row r="48" spans="1:15" x14ac:dyDescent="0.3">
      <c r="A48" s="21"/>
      <c r="B48" s="22"/>
      <c r="C48" s="22"/>
      <c r="D48" s="22"/>
      <c r="E48" s="25"/>
      <c r="F48" s="25"/>
      <c r="G48" s="25"/>
      <c r="H48" s="25"/>
      <c r="I48" s="25"/>
      <c r="J48" s="25"/>
      <c r="K48" s="25"/>
      <c r="L48" s="32"/>
      <c r="M48" s="33"/>
      <c r="N48" s="33"/>
      <c r="O48" s="34"/>
    </row>
    <row r="49" spans="1:15" x14ac:dyDescent="0.3">
      <c r="A49" s="21"/>
      <c r="B49" s="22"/>
      <c r="C49" s="22"/>
      <c r="D49" s="22"/>
      <c r="E49" s="25"/>
      <c r="F49" s="25"/>
      <c r="G49" s="25"/>
      <c r="H49" s="25"/>
      <c r="I49" s="25"/>
      <c r="J49" s="25"/>
      <c r="K49" s="25"/>
      <c r="L49" s="32"/>
      <c r="M49" s="33"/>
      <c r="N49" s="33"/>
      <c r="O49" s="34"/>
    </row>
    <row r="50" spans="1:15" x14ac:dyDescent="0.3">
      <c r="A50" s="21"/>
      <c r="B50" s="22"/>
      <c r="C50" s="22"/>
      <c r="D50" s="22"/>
      <c r="E50" s="25"/>
      <c r="F50" s="25"/>
      <c r="G50" s="25"/>
      <c r="H50" s="25"/>
      <c r="I50" s="25"/>
      <c r="J50" s="25"/>
      <c r="K50" s="25"/>
      <c r="L50" s="32"/>
      <c r="M50" s="33"/>
      <c r="N50" s="33"/>
      <c r="O50" s="34"/>
    </row>
    <row r="51" spans="1:15" x14ac:dyDescent="0.3">
      <c r="A51" s="27"/>
      <c r="B51" s="28"/>
      <c r="C51" s="28"/>
      <c r="D51" s="28"/>
      <c r="E51" s="29"/>
      <c r="F51" s="29"/>
      <c r="G51" s="29"/>
      <c r="H51" s="29"/>
      <c r="I51" s="29"/>
      <c r="J51" s="29"/>
      <c r="K51" s="29"/>
      <c r="L51" s="35"/>
      <c r="M51" s="36"/>
      <c r="N51" s="36"/>
      <c r="O51" s="37"/>
    </row>
  </sheetData>
  <conditionalFormatting sqref="J2:J51">
    <cfRule type="cellIs" dxfId="31" priority="1" operator="equal">
      <formula>0</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X52"/>
  <sheetViews>
    <sheetView zoomScale="80" zoomScaleNormal="80" workbookViewId="0">
      <pane xSplit="1" topLeftCell="B1" activePane="topRight" state="frozen"/>
      <selection pane="topRight" activeCell="F13" sqref="F13"/>
    </sheetView>
  </sheetViews>
  <sheetFormatPr defaultRowHeight="14.4" x14ac:dyDescent="0.3"/>
  <cols>
    <col min="1" max="1" width="23.109375" customWidth="1"/>
    <col min="2" max="2" width="10.44140625" bestFit="1" customWidth="1"/>
    <col min="3" max="3" width="14.109375" bestFit="1" customWidth="1"/>
    <col min="4" max="4" width="13.5546875" customWidth="1"/>
    <col min="5" max="5" width="16.21875" bestFit="1" customWidth="1"/>
    <col min="6" max="6" width="17.5546875" customWidth="1"/>
    <col min="7" max="7" width="19.77734375" customWidth="1"/>
    <col min="8" max="8" width="10.21875" customWidth="1"/>
    <col min="9" max="9" width="10.77734375" customWidth="1"/>
    <col min="10" max="10" width="13.88671875" customWidth="1"/>
    <col min="11" max="11" width="16.44140625" bestFit="1" customWidth="1"/>
    <col min="12" max="12" width="10.44140625" bestFit="1" customWidth="1"/>
    <col min="13" max="14" width="14.21875" customWidth="1"/>
    <col min="15" max="15" width="17.109375" customWidth="1"/>
    <col min="16" max="16" width="16.6640625" customWidth="1"/>
    <col min="17" max="17" width="15.77734375" bestFit="1" customWidth="1"/>
    <col min="18" max="18" width="15.77734375" customWidth="1"/>
    <col min="19" max="19" width="16.6640625" bestFit="1" customWidth="1"/>
    <col min="20" max="20" width="12.44140625" customWidth="1"/>
    <col min="21" max="21" width="15.21875" customWidth="1"/>
    <col min="22" max="22" width="14.33203125" bestFit="1" customWidth="1"/>
    <col min="23" max="24" width="12.109375" customWidth="1"/>
    <col min="25" max="25" width="13.33203125" customWidth="1"/>
    <col min="26" max="26" width="11.21875" customWidth="1"/>
    <col min="27" max="27" width="15.77734375" bestFit="1" customWidth="1"/>
    <col min="28" max="28" width="15.77734375" customWidth="1"/>
    <col min="29" max="29" width="16.6640625" bestFit="1" customWidth="1"/>
    <col min="30" max="30" width="12" customWidth="1"/>
    <col min="31" max="31" width="15.109375" customWidth="1"/>
    <col min="32" max="32" width="14.33203125" bestFit="1" customWidth="1"/>
    <col min="33" max="34" width="11.77734375" customWidth="1"/>
    <col min="35" max="35" width="13.5546875" customWidth="1"/>
    <col min="36" max="36" width="10.5546875" style="48" customWidth="1"/>
    <col min="37" max="37" width="15.77734375" bestFit="1" customWidth="1"/>
    <col min="38" max="38" width="15.77734375" customWidth="1"/>
    <col min="39" max="39" width="16.6640625" bestFit="1" customWidth="1"/>
    <col min="40" max="40" width="12.33203125" customWidth="1"/>
    <col min="41" max="41" width="14.44140625" customWidth="1"/>
    <col min="42" max="42" width="14.33203125" bestFit="1" customWidth="1"/>
    <col min="43" max="45" width="12" customWidth="1"/>
    <col min="46" max="46" width="11.6640625" customWidth="1"/>
    <col min="47" max="47" width="16.5546875" bestFit="1" customWidth="1"/>
    <col min="48" max="48" width="16.5546875" customWidth="1"/>
    <col min="49" max="49" width="16.6640625" bestFit="1" customWidth="1"/>
    <col min="50" max="50" width="12.21875" customWidth="1"/>
    <col min="51" max="51" width="14.6640625" customWidth="1"/>
    <col min="52" max="52" width="14.33203125" bestFit="1" customWidth="1"/>
    <col min="53" max="55" width="12.44140625" customWidth="1"/>
    <col min="56" max="56" width="11" customWidth="1"/>
    <col min="57" max="58" width="17" customWidth="1"/>
    <col min="59" max="59" width="17.6640625" bestFit="1" customWidth="1"/>
    <col min="60" max="60" width="13.5546875" customWidth="1"/>
    <col min="61" max="61" width="15.21875" customWidth="1"/>
    <col min="62" max="62" width="21.5546875" customWidth="1"/>
    <col min="63" max="65" width="13.5546875" customWidth="1"/>
    <col min="66" max="66" width="11.5546875" customWidth="1"/>
    <col min="67" max="67" width="16.5546875" bestFit="1" customWidth="1"/>
    <col min="68" max="68" width="16.5546875" customWidth="1"/>
    <col min="69" max="69" width="17.6640625" customWidth="1"/>
    <col min="70" max="70" width="12.6640625" customWidth="1"/>
    <col min="71" max="71" width="14.77734375" customWidth="1"/>
    <col min="72" max="72" width="17.88671875" customWidth="1"/>
    <col min="73" max="75" width="12.5546875" customWidth="1"/>
    <col min="76" max="76" width="10.77734375" customWidth="1"/>
  </cols>
  <sheetData>
    <row r="1" spans="1:76" s="19" customFormat="1" x14ac:dyDescent="0.3">
      <c r="A1" s="234" t="s">
        <v>97</v>
      </c>
      <c r="B1" s="234"/>
      <c r="C1" s="234"/>
      <c r="D1" s="234"/>
      <c r="E1" s="235" t="s">
        <v>98</v>
      </c>
      <c r="F1" s="236"/>
      <c r="G1" s="236"/>
      <c r="H1" s="236"/>
      <c r="I1" s="236"/>
      <c r="J1" s="236"/>
      <c r="K1" s="236"/>
      <c r="L1" s="236"/>
      <c r="M1" s="236"/>
      <c r="N1" s="236"/>
      <c r="O1" s="236"/>
      <c r="P1" s="237"/>
      <c r="Q1" s="230" t="s">
        <v>99</v>
      </c>
      <c r="R1" s="231"/>
      <c r="S1" s="238"/>
      <c r="T1" s="238"/>
      <c r="U1" s="238"/>
      <c r="V1" s="238"/>
      <c r="W1" s="238"/>
      <c r="X1" s="238"/>
      <c r="Y1" s="238"/>
      <c r="Z1" s="232"/>
      <c r="AA1" s="239" t="s">
        <v>100</v>
      </c>
      <c r="AB1" s="240"/>
      <c r="AC1" s="240"/>
      <c r="AD1" s="240"/>
      <c r="AE1" s="240"/>
      <c r="AF1" s="240"/>
      <c r="AG1" s="240"/>
      <c r="AH1" s="240"/>
      <c r="AI1" s="240"/>
      <c r="AJ1" s="241"/>
      <c r="AK1" s="230" t="s">
        <v>101</v>
      </c>
      <c r="AL1" s="231"/>
      <c r="AM1" s="231"/>
      <c r="AN1" s="231"/>
      <c r="AO1" s="231"/>
      <c r="AP1" s="231"/>
      <c r="AQ1" s="231"/>
      <c r="AR1" s="231"/>
      <c r="AS1" s="231"/>
      <c r="AT1" s="232"/>
      <c r="AU1" s="233" t="s">
        <v>102</v>
      </c>
      <c r="AV1" s="233"/>
      <c r="AW1" s="233"/>
      <c r="AX1" s="233"/>
      <c r="AY1" s="233"/>
      <c r="AZ1" s="233"/>
      <c r="BA1" s="233"/>
      <c r="BB1" s="233"/>
      <c r="BC1" s="233"/>
      <c r="BD1" s="233"/>
      <c r="BE1" s="230" t="s">
        <v>103</v>
      </c>
      <c r="BF1" s="231"/>
      <c r="BG1" s="231"/>
      <c r="BH1" s="231"/>
      <c r="BI1" s="231"/>
      <c r="BJ1" s="231"/>
      <c r="BK1" s="231"/>
      <c r="BL1" s="231"/>
      <c r="BM1" s="231"/>
      <c r="BN1" s="232"/>
      <c r="BO1" s="233" t="s">
        <v>104</v>
      </c>
      <c r="BP1" s="233"/>
      <c r="BQ1" s="233"/>
      <c r="BR1" s="233"/>
      <c r="BS1" s="233"/>
      <c r="BT1" s="233"/>
      <c r="BU1" s="233"/>
      <c r="BV1" s="233"/>
      <c r="BW1" s="233"/>
      <c r="BX1" s="233"/>
    </row>
    <row r="2" spans="1:76" s="38" customFormat="1" ht="30" customHeight="1" x14ac:dyDescent="0.3">
      <c r="A2" s="62" t="s">
        <v>72</v>
      </c>
      <c r="B2" s="63" t="s">
        <v>105</v>
      </c>
      <c r="C2" s="64" t="s">
        <v>86</v>
      </c>
      <c r="D2" s="64" t="s">
        <v>87</v>
      </c>
      <c r="E2" s="71" t="s">
        <v>88</v>
      </c>
      <c r="F2" s="72" t="s">
        <v>163</v>
      </c>
      <c r="G2" s="72" t="s">
        <v>76</v>
      </c>
      <c r="H2" s="73" t="s">
        <v>77</v>
      </c>
      <c r="I2" s="73" t="s">
        <v>78</v>
      </c>
      <c r="J2" s="73" t="s">
        <v>79</v>
      </c>
      <c r="K2" s="73" t="s">
        <v>80</v>
      </c>
      <c r="L2" s="73" t="s">
        <v>81</v>
      </c>
      <c r="M2" s="73" t="s">
        <v>82</v>
      </c>
      <c r="N2" s="73" t="s">
        <v>83</v>
      </c>
      <c r="O2" s="73" t="s">
        <v>84</v>
      </c>
      <c r="P2" s="74" t="s">
        <v>85</v>
      </c>
      <c r="Q2" s="87" t="s">
        <v>106</v>
      </c>
      <c r="R2" s="87" t="s">
        <v>169</v>
      </c>
      <c r="S2" s="88" t="s">
        <v>107</v>
      </c>
      <c r="T2" s="88" t="s">
        <v>108</v>
      </c>
      <c r="U2" s="88" t="s">
        <v>109</v>
      </c>
      <c r="V2" s="88" t="s">
        <v>110</v>
      </c>
      <c r="W2" s="88" t="s">
        <v>111</v>
      </c>
      <c r="X2" s="89" t="s">
        <v>112</v>
      </c>
      <c r="Y2" s="89" t="s">
        <v>113</v>
      </c>
      <c r="Z2" s="90" t="s">
        <v>114</v>
      </c>
      <c r="AA2" s="107" t="s">
        <v>115</v>
      </c>
      <c r="AB2" s="108" t="s">
        <v>168</v>
      </c>
      <c r="AC2" s="109" t="s">
        <v>116</v>
      </c>
      <c r="AD2" s="109" t="s">
        <v>117</v>
      </c>
      <c r="AE2" s="109" t="s">
        <v>118</v>
      </c>
      <c r="AF2" s="109" t="s">
        <v>119</v>
      </c>
      <c r="AG2" s="109" t="s">
        <v>120</v>
      </c>
      <c r="AH2" s="110" t="s">
        <v>121</v>
      </c>
      <c r="AI2" s="110" t="s">
        <v>122</v>
      </c>
      <c r="AJ2" s="110" t="s">
        <v>123</v>
      </c>
      <c r="AK2" s="91" t="s">
        <v>124</v>
      </c>
      <c r="AL2" s="87" t="s">
        <v>167</v>
      </c>
      <c r="AM2" s="88" t="s">
        <v>125</v>
      </c>
      <c r="AN2" s="88" t="s">
        <v>126</v>
      </c>
      <c r="AO2" s="88" t="s">
        <v>127</v>
      </c>
      <c r="AP2" s="88" t="s">
        <v>128</v>
      </c>
      <c r="AQ2" s="88" t="s">
        <v>129</v>
      </c>
      <c r="AR2" s="89" t="s">
        <v>130</v>
      </c>
      <c r="AS2" s="92" t="s">
        <v>131</v>
      </c>
      <c r="AT2" s="92" t="s">
        <v>132</v>
      </c>
      <c r="AU2" s="108" t="s">
        <v>133</v>
      </c>
      <c r="AV2" s="108" t="s">
        <v>166</v>
      </c>
      <c r="AW2" s="109" t="s">
        <v>134</v>
      </c>
      <c r="AX2" s="109" t="s">
        <v>135</v>
      </c>
      <c r="AY2" s="109" t="s">
        <v>136</v>
      </c>
      <c r="AZ2" s="109" t="s">
        <v>137</v>
      </c>
      <c r="BA2" s="109" t="s">
        <v>138</v>
      </c>
      <c r="BB2" s="110" t="s">
        <v>139</v>
      </c>
      <c r="BC2" s="110" t="s">
        <v>140</v>
      </c>
      <c r="BD2" s="110" t="s">
        <v>141</v>
      </c>
      <c r="BE2" s="91" t="s">
        <v>142</v>
      </c>
      <c r="BF2" s="87" t="s">
        <v>165</v>
      </c>
      <c r="BG2" s="88" t="s">
        <v>143</v>
      </c>
      <c r="BH2" s="88" t="s">
        <v>144</v>
      </c>
      <c r="BI2" s="88" t="s">
        <v>145</v>
      </c>
      <c r="BJ2" s="88" t="s">
        <v>146</v>
      </c>
      <c r="BK2" s="88" t="s">
        <v>147</v>
      </c>
      <c r="BL2" s="89" t="s">
        <v>148</v>
      </c>
      <c r="BM2" s="89" t="s">
        <v>149</v>
      </c>
      <c r="BN2" s="92" t="s">
        <v>150</v>
      </c>
      <c r="BO2" s="108" t="s">
        <v>151</v>
      </c>
      <c r="BP2" s="108" t="s">
        <v>164</v>
      </c>
      <c r="BQ2" s="109" t="s">
        <v>152</v>
      </c>
      <c r="BR2" s="109" t="s">
        <v>153</v>
      </c>
      <c r="BS2" s="109" t="s">
        <v>154</v>
      </c>
      <c r="BT2" s="109" t="s">
        <v>155</v>
      </c>
      <c r="BU2" s="109" t="s">
        <v>156</v>
      </c>
      <c r="BV2" s="109" t="s">
        <v>157</v>
      </c>
      <c r="BW2" s="109" t="s">
        <v>158</v>
      </c>
      <c r="BX2" s="109" t="s">
        <v>159</v>
      </c>
    </row>
    <row r="3" spans="1:76" x14ac:dyDescent="0.3">
      <c r="A3" s="65"/>
      <c r="B3" s="66"/>
      <c r="C3" s="66"/>
      <c r="D3" s="67"/>
      <c r="E3" s="75"/>
      <c r="F3" s="76"/>
      <c r="G3" s="76"/>
      <c r="H3" s="77"/>
      <c r="I3" s="77"/>
      <c r="J3" s="77"/>
      <c r="K3" s="78"/>
      <c r="L3" s="77"/>
      <c r="M3" s="77"/>
      <c r="N3" s="79"/>
      <c r="O3" s="79"/>
      <c r="P3" s="80"/>
      <c r="Q3" s="93"/>
      <c r="R3" s="93"/>
      <c r="S3" s="94"/>
      <c r="T3" s="95"/>
      <c r="U3" s="95"/>
      <c r="V3" s="94"/>
      <c r="W3" s="95"/>
      <c r="X3" s="96"/>
      <c r="Y3" s="95"/>
      <c r="Z3" s="98"/>
      <c r="AA3" s="111"/>
      <c r="AB3" s="112"/>
      <c r="AC3" s="113"/>
      <c r="AD3" s="114"/>
      <c r="AE3" s="114"/>
      <c r="AF3" s="113"/>
      <c r="AG3" s="114"/>
      <c r="AH3" s="115"/>
      <c r="AI3" s="115"/>
      <c r="AJ3" s="115"/>
      <c r="AK3" s="97"/>
      <c r="AL3" s="93"/>
      <c r="AM3" s="94"/>
      <c r="AN3" s="95"/>
      <c r="AO3" s="95"/>
      <c r="AP3" s="94"/>
      <c r="AQ3" s="95"/>
      <c r="AR3" s="96"/>
      <c r="AS3" s="96"/>
      <c r="AT3" s="98"/>
      <c r="AU3" s="112"/>
      <c r="AV3" s="112"/>
      <c r="AW3" s="113"/>
      <c r="AX3" s="114"/>
      <c r="AY3" s="114"/>
      <c r="AZ3" s="113"/>
      <c r="BA3" s="114"/>
      <c r="BB3" s="115"/>
      <c r="BC3" s="115"/>
      <c r="BD3" s="115"/>
      <c r="BE3" s="99"/>
      <c r="BF3" s="100"/>
      <c r="BG3" s="95"/>
      <c r="BH3" s="95"/>
      <c r="BI3" s="95"/>
      <c r="BJ3" s="95"/>
      <c r="BK3" s="95"/>
      <c r="BL3" s="96"/>
      <c r="BM3" s="96"/>
      <c r="BN3" s="98"/>
      <c r="BO3" s="121"/>
      <c r="BP3" s="122"/>
      <c r="BQ3" s="114"/>
      <c r="BR3" s="114"/>
      <c r="BS3" s="114"/>
      <c r="BT3" s="114"/>
      <c r="BU3" s="114"/>
      <c r="BV3" s="115"/>
      <c r="BW3" s="115"/>
      <c r="BX3" s="123"/>
    </row>
    <row r="4" spans="1:76" x14ac:dyDescent="0.3">
      <c r="A4" s="45"/>
      <c r="B4" s="41"/>
      <c r="C4" s="41"/>
      <c r="D4" s="42"/>
      <c r="E4" s="46"/>
      <c r="F4" s="39"/>
      <c r="G4" s="39"/>
      <c r="H4" s="41"/>
      <c r="I4" s="41"/>
      <c r="J4" s="41"/>
      <c r="K4" s="40"/>
      <c r="L4" s="41"/>
      <c r="M4" s="41"/>
      <c r="N4" s="42"/>
      <c r="O4" s="42"/>
      <c r="P4" s="44"/>
      <c r="Q4" s="39"/>
      <c r="R4" s="39"/>
      <c r="S4" s="40"/>
      <c r="T4" s="41"/>
      <c r="U4" s="41"/>
      <c r="V4" s="40"/>
      <c r="W4" s="41"/>
      <c r="X4" s="42"/>
      <c r="Y4" s="41"/>
      <c r="Z4" s="44"/>
      <c r="AA4" s="46"/>
      <c r="AB4" s="39"/>
      <c r="AC4" s="40"/>
      <c r="AD4" s="41"/>
      <c r="AE4" s="41"/>
      <c r="AF4" s="40"/>
      <c r="AG4" s="41"/>
      <c r="AH4" s="42"/>
      <c r="AI4" s="42"/>
      <c r="AJ4" s="42"/>
      <c r="AK4" s="46"/>
      <c r="AL4" s="39"/>
      <c r="AM4" s="40"/>
      <c r="AN4" s="41"/>
      <c r="AO4" s="41"/>
      <c r="AP4" s="40"/>
      <c r="AQ4" s="41"/>
      <c r="AR4" s="42"/>
      <c r="AS4" s="42"/>
      <c r="AT4" s="44"/>
      <c r="AU4" s="39"/>
      <c r="AV4" s="39"/>
      <c r="AW4" s="40"/>
      <c r="AX4" s="41"/>
      <c r="AY4" s="41"/>
      <c r="AZ4" s="40"/>
      <c r="BA4" s="41"/>
      <c r="BB4" s="42"/>
      <c r="BC4" s="42"/>
      <c r="BD4" s="42"/>
      <c r="BE4" s="43"/>
      <c r="BF4" s="45"/>
      <c r="BG4" s="41"/>
      <c r="BH4" s="41"/>
      <c r="BI4" s="41"/>
      <c r="BJ4" s="41"/>
      <c r="BK4" s="41"/>
      <c r="BL4" s="42"/>
      <c r="BM4" s="42"/>
      <c r="BN4" s="44"/>
      <c r="BO4" s="43"/>
      <c r="BP4" s="45"/>
      <c r="BQ4" s="41"/>
      <c r="BR4" s="41"/>
      <c r="BS4" s="41"/>
      <c r="BT4" s="41"/>
      <c r="BU4" s="41"/>
      <c r="BV4" s="42"/>
      <c r="BW4" s="42"/>
      <c r="BX4" s="44"/>
    </row>
    <row r="5" spans="1:76" x14ac:dyDescent="0.3">
      <c r="A5" s="65"/>
      <c r="B5" s="66"/>
      <c r="C5" s="66"/>
      <c r="D5" s="67"/>
      <c r="E5" s="75"/>
      <c r="F5" s="76"/>
      <c r="G5" s="76"/>
      <c r="H5" s="77"/>
      <c r="I5" s="77"/>
      <c r="J5" s="77"/>
      <c r="K5" s="78"/>
      <c r="L5" s="77"/>
      <c r="M5" s="77"/>
      <c r="N5" s="79"/>
      <c r="O5" s="79"/>
      <c r="P5" s="80"/>
      <c r="Q5" s="93"/>
      <c r="R5" s="93"/>
      <c r="S5" s="94"/>
      <c r="T5" s="95"/>
      <c r="U5" s="95"/>
      <c r="V5" s="94"/>
      <c r="W5" s="95"/>
      <c r="X5" s="96"/>
      <c r="Y5" s="95"/>
      <c r="Z5" s="98"/>
      <c r="AA5" s="111"/>
      <c r="AB5" s="112"/>
      <c r="AC5" s="113"/>
      <c r="AD5" s="114"/>
      <c r="AE5" s="114"/>
      <c r="AF5" s="113"/>
      <c r="AG5" s="114"/>
      <c r="AH5" s="115"/>
      <c r="AI5" s="115"/>
      <c r="AJ5" s="115"/>
      <c r="AK5" s="97"/>
      <c r="AL5" s="93"/>
      <c r="AM5" s="94"/>
      <c r="AN5" s="95"/>
      <c r="AO5" s="95"/>
      <c r="AP5" s="94"/>
      <c r="AQ5" s="95"/>
      <c r="AR5" s="96"/>
      <c r="AS5" s="96"/>
      <c r="AT5" s="98"/>
      <c r="AU5" s="112"/>
      <c r="AV5" s="112"/>
      <c r="AW5" s="113"/>
      <c r="AX5" s="114"/>
      <c r="AY5" s="114"/>
      <c r="AZ5" s="113"/>
      <c r="BA5" s="114"/>
      <c r="BB5" s="115"/>
      <c r="BC5" s="115"/>
      <c r="BD5" s="115"/>
      <c r="BE5" s="99"/>
      <c r="BF5" s="100"/>
      <c r="BG5" s="95"/>
      <c r="BH5" s="95"/>
      <c r="BI5" s="95"/>
      <c r="BJ5" s="95"/>
      <c r="BK5" s="95"/>
      <c r="BL5" s="96"/>
      <c r="BM5" s="96"/>
      <c r="BN5" s="98"/>
      <c r="BO5" s="121"/>
      <c r="BP5" s="122"/>
      <c r="BQ5" s="114"/>
      <c r="BR5" s="114"/>
      <c r="BS5" s="114"/>
      <c r="BT5" s="114"/>
      <c r="BU5" s="114"/>
      <c r="BV5" s="115"/>
      <c r="BW5" s="115"/>
      <c r="BX5" s="123"/>
    </row>
    <row r="6" spans="1:76" x14ac:dyDescent="0.3">
      <c r="A6" s="45"/>
      <c r="B6" s="41"/>
      <c r="C6" s="41"/>
      <c r="D6" s="42"/>
      <c r="E6" s="46"/>
      <c r="F6" s="39"/>
      <c r="G6" s="39"/>
      <c r="H6" s="53"/>
      <c r="I6" s="41"/>
      <c r="J6" s="41"/>
      <c r="K6" s="40"/>
      <c r="L6" s="41"/>
      <c r="M6" s="41"/>
      <c r="N6" s="42"/>
      <c r="O6" s="42"/>
      <c r="P6" s="44"/>
      <c r="Q6" s="39"/>
      <c r="R6" s="39"/>
      <c r="S6" s="40"/>
      <c r="T6" s="41"/>
      <c r="U6" s="41"/>
      <c r="V6" s="40"/>
      <c r="W6" s="41"/>
      <c r="X6" s="42"/>
      <c r="Y6" s="41"/>
      <c r="Z6" s="44"/>
      <c r="AA6" s="46"/>
      <c r="AB6" s="39"/>
      <c r="AC6" s="40"/>
      <c r="AD6" s="41"/>
      <c r="AE6" s="41"/>
      <c r="AF6" s="40"/>
      <c r="AG6" s="41"/>
      <c r="AH6" s="42"/>
      <c r="AI6" s="42"/>
      <c r="AJ6" s="42"/>
      <c r="AK6" s="46"/>
      <c r="AL6" s="39"/>
      <c r="AM6" s="40"/>
      <c r="AN6" s="41"/>
      <c r="AO6" s="41"/>
      <c r="AP6" s="40"/>
      <c r="AQ6" s="41"/>
      <c r="AR6" s="42"/>
      <c r="AS6" s="42"/>
      <c r="AT6" s="44"/>
      <c r="AU6" s="39"/>
      <c r="AV6" s="39"/>
      <c r="AW6" s="40"/>
      <c r="AX6" s="41"/>
      <c r="AY6" s="41"/>
      <c r="AZ6" s="40"/>
      <c r="BA6" s="41"/>
      <c r="BB6" s="42"/>
      <c r="BC6" s="42"/>
      <c r="BD6" s="42"/>
      <c r="BE6" s="43"/>
      <c r="BF6" s="45"/>
      <c r="BG6" s="41"/>
      <c r="BH6" s="41"/>
      <c r="BI6" s="41"/>
      <c r="BJ6" s="41"/>
      <c r="BK6" s="41"/>
      <c r="BL6" s="42"/>
      <c r="BM6" s="42"/>
      <c r="BN6" s="44"/>
      <c r="BO6" s="43"/>
      <c r="BP6" s="45"/>
      <c r="BQ6" s="41"/>
      <c r="BR6" s="41"/>
      <c r="BS6" s="41"/>
      <c r="BT6" s="41"/>
      <c r="BU6" s="41"/>
      <c r="BV6" s="42"/>
      <c r="BW6" s="42"/>
      <c r="BX6" s="44"/>
    </row>
    <row r="7" spans="1:76" x14ac:dyDescent="0.3">
      <c r="A7" s="65"/>
      <c r="B7" s="66"/>
      <c r="C7" s="66"/>
      <c r="D7" s="67"/>
      <c r="E7" s="75"/>
      <c r="F7" s="76"/>
      <c r="G7" s="76"/>
      <c r="H7" s="77"/>
      <c r="I7" s="77"/>
      <c r="J7" s="77"/>
      <c r="K7" s="78"/>
      <c r="L7" s="77"/>
      <c r="M7" s="77"/>
      <c r="N7" s="79"/>
      <c r="O7" s="79"/>
      <c r="P7" s="80"/>
      <c r="Q7" s="93"/>
      <c r="R7" s="93"/>
      <c r="S7" s="94"/>
      <c r="T7" s="95"/>
      <c r="U7" s="95"/>
      <c r="V7" s="94"/>
      <c r="W7" s="95"/>
      <c r="X7" s="96"/>
      <c r="Y7" s="95"/>
      <c r="Z7" s="98"/>
      <c r="AA7" s="111"/>
      <c r="AB7" s="112"/>
      <c r="AC7" s="113"/>
      <c r="AD7" s="114"/>
      <c r="AE7" s="114"/>
      <c r="AF7" s="113"/>
      <c r="AG7" s="114"/>
      <c r="AH7" s="115"/>
      <c r="AI7" s="115"/>
      <c r="AJ7" s="115"/>
      <c r="AK7" s="97"/>
      <c r="AL7" s="93"/>
      <c r="AM7" s="94"/>
      <c r="AN7" s="95"/>
      <c r="AO7" s="95"/>
      <c r="AP7" s="94"/>
      <c r="AQ7" s="95"/>
      <c r="AR7" s="96"/>
      <c r="AS7" s="96"/>
      <c r="AT7" s="98"/>
      <c r="AU7" s="112"/>
      <c r="AV7" s="112"/>
      <c r="AW7" s="113"/>
      <c r="AX7" s="114"/>
      <c r="AY7" s="114"/>
      <c r="AZ7" s="113"/>
      <c r="BA7" s="114"/>
      <c r="BB7" s="115"/>
      <c r="BC7" s="115"/>
      <c r="BD7" s="115"/>
      <c r="BE7" s="99"/>
      <c r="BF7" s="100"/>
      <c r="BG7" s="95"/>
      <c r="BH7" s="95"/>
      <c r="BI7" s="95"/>
      <c r="BJ7" s="95"/>
      <c r="BK7" s="95"/>
      <c r="BL7" s="96"/>
      <c r="BM7" s="96"/>
      <c r="BN7" s="98"/>
      <c r="BO7" s="121"/>
      <c r="BP7" s="122"/>
      <c r="BQ7" s="114"/>
      <c r="BR7" s="114"/>
      <c r="BS7" s="114"/>
      <c r="BT7" s="114"/>
      <c r="BU7" s="114"/>
      <c r="BV7" s="115"/>
      <c r="BW7" s="115"/>
      <c r="BX7" s="123"/>
    </row>
    <row r="8" spans="1:76" x14ac:dyDescent="0.3">
      <c r="A8" s="45"/>
      <c r="B8" s="41"/>
      <c r="C8" s="41"/>
      <c r="D8" s="42"/>
      <c r="E8" s="46"/>
      <c r="F8" s="39"/>
      <c r="G8" s="39"/>
      <c r="H8" s="41"/>
      <c r="I8" s="41"/>
      <c r="J8" s="41"/>
      <c r="K8" s="40"/>
      <c r="L8" s="41"/>
      <c r="M8" s="41"/>
      <c r="N8" s="42"/>
      <c r="O8" s="42"/>
      <c r="P8" s="44"/>
      <c r="Q8" s="39"/>
      <c r="R8" s="39"/>
      <c r="S8" s="40"/>
      <c r="T8" s="41"/>
      <c r="U8" s="41"/>
      <c r="V8" s="40"/>
      <c r="W8" s="41"/>
      <c r="X8" s="42"/>
      <c r="Y8" s="41"/>
      <c r="Z8" s="44"/>
      <c r="AA8" s="46"/>
      <c r="AB8" s="39"/>
      <c r="AC8" s="40"/>
      <c r="AD8" s="41"/>
      <c r="AE8" s="41"/>
      <c r="AF8" s="40"/>
      <c r="AG8" s="41"/>
      <c r="AH8" s="42"/>
      <c r="AI8" s="42"/>
      <c r="AJ8" s="42"/>
      <c r="AK8" s="46"/>
      <c r="AL8" s="39"/>
      <c r="AM8" s="40"/>
      <c r="AN8" s="41"/>
      <c r="AO8" s="41"/>
      <c r="AP8" s="40"/>
      <c r="AQ8" s="41"/>
      <c r="AR8" s="42"/>
      <c r="AS8" s="42"/>
      <c r="AT8" s="44"/>
      <c r="AU8" s="39"/>
      <c r="AV8" s="39"/>
      <c r="AW8" s="40"/>
      <c r="AX8" s="41"/>
      <c r="AY8" s="41"/>
      <c r="AZ8" s="40"/>
      <c r="BA8" s="41"/>
      <c r="BB8" s="42"/>
      <c r="BC8" s="42"/>
      <c r="BD8" s="42"/>
      <c r="BE8" s="43"/>
      <c r="BF8" s="45"/>
      <c r="BG8" s="41"/>
      <c r="BH8" s="41"/>
      <c r="BI8" s="41"/>
      <c r="BJ8" s="41"/>
      <c r="BK8" s="41"/>
      <c r="BL8" s="42"/>
      <c r="BM8" s="42"/>
      <c r="BN8" s="44"/>
      <c r="BO8" s="43"/>
      <c r="BP8" s="45"/>
      <c r="BQ8" s="41"/>
      <c r="BR8" s="41"/>
      <c r="BS8" s="41"/>
      <c r="BT8" s="41"/>
      <c r="BU8" s="41"/>
      <c r="BV8" s="42"/>
      <c r="BW8" s="42"/>
      <c r="BX8" s="44"/>
    </row>
    <row r="9" spans="1:76" x14ac:dyDescent="0.3">
      <c r="A9" s="65"/>
      <c r="B9" s="66"/>
      <c r="C9" s="66"/>
      <c r="D9" s="67"/>
      <c r="E9" s="75"/>
      <c r="F9" s="76"/>
      <c r="G9" s="76"/>
      <c r="H9" s="77"/>
      <c r="I9" s="77"/>
      <c r="J9" s="77"/>
      <c r="K9" s="78"/>
      <c r="L9" s="77"/>
      <c r="M9" s="77"/>
      <c r="N9" s="79"/>
      <c r="O9" s="79"/>
      <c r="P9" s="80"/>
      <c r="Q9" s="93"/>
      <c r="R9" s="93"/>
      <c r="S9" s="94"/>
      <c r="T9" s="95"/>
      <c r="U9" s="95"/>
      <c r="V9" s="94"/>
      <c r="W9" s="95"/>
      <c r="X9" s="96"/>
      <c r="Y9" s="95"/>
      <c r="Z9" s="98"/>
      <c r="AA9" s="111"/>
      <c r="AB9" s="112"/>
      <c r="AC9" s="113"/>
      <c r="AD9" s="114"/>
      <c r="AE9" s="114"/>
      <c r="AF9" s="113"/>
      <c r="AG9" s="114"/>
      <c r="AH9" s="115"/>
      <c r="AI9" s="115"/>
      <c r="AJ9" s="115"/>
      <c r="AK9" s="97"/>
      <c r="AL9" s="93"/>
      <c r="AM9" s="94"/>
      <c r="AN9" s="95"/>
      <c r="AO9" s="95"/>
      <c r="AP9" s="94"/>
      <c r="AQ9" s="95"/>
      <c r="AR9" s="96"/>
      <c r="AS9" s="96"/>
      <c r="AT9" s="98"/>
      <c r="AU9" s="112"/>
      <c r="AV9" s="112"/>
      <c r="AW9" s="113"/>
      <c r="AX9" s="114"/>
      <c r="AY9" s="114"/>
      <c r="AZ9" s="113"/>
      <c r="BA9" s="114"/>
      <c r="BB9" s="115"/>
      <c r="BC9" s="115"/>
      <c r="BD9" s="115"/>
      <c r="BE9" s="99"/>
      <c r="BF9" s="100"/>
      <c r="BG9" s="95"/>
      <c r="BH9" s="95"/>
      <c r="BI9" s="95"/>
      <c r="BJ9" s="95"/>
      <c r="BK9" s="95"/>
      <c r="BL9" s="96"/>
      <c r="BM9" s="96"/>
      <c r="BN9" s="98"/>
      <c r="BO9" s="121"/>
      <c r="BP9" s="122"/>
      <c r="BQ9" s="114"/>
      <c r="BR9" s="114"/>
      <c r="BS9" s="114"/>
      <c r="BT9" s="114"/>
      <c r="BU9" s="114"/>
      <c r="BV9" s="115"/>
      <c r="BW9" s="115"/>
      <c r="BX9" s="123"/>
    </row>
    <row r="10" spans="1:76" x14ac:dyDescent="0.3">
      <c r="A10" s="45"/>
      <c r="B10" s="41"/>
      <c r="C10" s="41"/>
      <c r="D10" s="42"/>
      <c r="E10" s="46"/>
      <c r="F10" s="39"/>
      <c r="G10" s="39"/>
      <c r="H10" s="41"/>
      <c r="I10" s="41"/>
      <c r="J10" s="41"/>
      <c r="K10" s="40"/>
      <c r="L10" s="41"/>
      <c r="M10" s="41"/>
      <c r="N10" s="42"/>
      <c r="O10" s="42"/>
      <c r="P10" s="44"/>
      <c r="Q10" s="39"/>
      <c r="R10" s="39"/>
      <c r="S10" s="40"/>
      <c r="T10" s="41"/>
      <c r="U10" s="41"/>
      <c r="V10" s="40"/>
      <c r="W10" s="41"/>
      <c r="X10" s="42"/>
      <c r="Y10" s="41"/>
      <c r="Z10" s="44"/>
      <c r="AA10" s="46"/>
      <c r="AB10" s="39"/>
      <c r="AC10" s="40"/>
      <c r="AD10" s="41"/>
      <c r="AE10" s="41"/>
      <c r="AF10" s="40"/>
      <c r="AG10" s="41"/>
      <c r="AH10" s="42"/>
      <c r="AI10" s="42"/>
      <c r="AJ10" s="42"/>
      <c r="AK10" s="46"/>
      <c r="AL10" s="39"/>
      <c r="AM10" s="40"/>
      <c r="AN10" s="41"/>
      <c r="AO10" s="41"/>
      <c r="AP10" s="40"/>
      <c r="AQ10" s="41"/>
      <c r="AR10" s="42"/>
      <c r="AS10" s="42"/>
      <c r="AT10" s="44"/>
      <c r="AU10" s="39"/>
      <c r="AV10" s="39"/>
      <c r="AW10" s="40"/>
      <c r="AX10" s="41"/>
      <c r="AY10" s="41"/>
      <c r="AZ10" s="40"/>
      <c r="BA10" s="41"/>
      <c r="BB10" s="42"/>
      <c r="BC10" s="42"/>
      <c r="BD10" s="42"/>
      <c r="BE10" s="43"/>
      <c r="BF10" s="45"/>
      <c r="BG10" s="41"/>
      <c r="BH10" s="41"/>
      <c r="BI10" s="41"/>
      <c r="BJ10" s="41"/>
      <c r="BK10" s="41"/>
      <c r="BL10" s="42"/>
      <c r="BM10" s="42"/>
      <c r="BN10" s="44"/>
      <c r="BO10" s="43"/>
      <c r="BP10" s="45"/>
      <c r="BQ10" s="41"/>
      <c r="BR10" s="41"/>
      <c r="BS10" s="41"/>
      <c r="BT10" s="41"/>
      <c r="BU10" s="41"/>
      <c r="BV10" s="42"/>
      <c r="BW10" s="42"/>
      <c r="BX10" s="44"/>
    </row>
    <row r="11" spans="1:76" x14ac:dyDescent="0.3">
      <c r="A11" s="65"/>
      <c r="B11" s="66"/>
      <c r="C11" s="66"/>
      <c r="D11" s="67"/>
      <c r="E11" s="75"/>
      <c r="F11" s="76"/>
      <c r="G11" s="76"/>
      <c r="H11" s="77"/>
      <c r="I11" s="77"/>
      <c r="J11" s="77"/>
      <c r="K11" s="78"/>
      <c r="L11" s="77"/>
      <c r="M11" s="77"/>
      <c r="N11" s="79"/>
      <c r="O11" s="79"/>
      <c r="P11" s="80"/>
      <c r="Q11" s="93"/>
      <c r="R11" s="93"/>
      <c r="S11" s="94"/>
      <c r="T11" s="95"/>
      <c r="U11" s="95"/>
      <c r="V11" s="94"/>
      <c r="W11" s="95"/>
      <c r="X11" s="96"/>
      <c r="Y11" s="95"/>
      <c r="Z11" s="98"/>
      <c r="AA11" s="111"/>
      <c r="AB11" s="112"/>
      <c r="AC11" s="113"/>
      <c r="AD11" s="114"/>
      <c r="AE11" s="114"/>
      <c r="AF11" s="113"/>
      <c r="AG11" s="114"/>
      <c r="AH11" s="115"/>
      <c r="AI11" s="115"/>
      <c r="AJ11" s="115"/>
      <c r="AK11" s="97"/>
      <c r="AL11" s="93"/>
      <c r="AM11" s="94"/>
      <c r="AN11" s="95"/>
      <c r="AO11" s="95"/>
      <c r="AP11" s="94"/>
      <c r="AQ11" s="95"/>
      <c r="AR11" s="96"/>
      <c r="AS11" s="96"/>
      <c r="AT11" s="98"/>
      <c r="AU11" s="112"/>
      <c r="AV11" s="112"/>
      <c r="AW11" s="113"/>
      <c r="AX11" s="114"/>
      <c r="AY11" s="114"/>
      <c r="AZ11" s="113"/>
      <c r="BA11" s="114"/>
      <c r="BB11" s="115"/>
      <c r="BC11" s="115"/>
      <c r="BD11" s="115"/>
      <c r="BE11" s="99"/>
      <c r="BF11" s="100"/>
      <c r="BG11" s="95"/>
      <c r="BH11" s="95"/>
      <c r="BI11" s="95"/>
      <c r="BJ11" s="95"/>
      <c r="BK11" s="95"/>
      <c r="BL11" s="96"/>
      <c r="BM11" s="96"/>
      <c r="BN11" s="98"/>
      <c r="BO11" s="121"/>
      <c r="BP11" s="122"/>
      <c r="BQ11" s="114"/>
      <c r="BR11" s="114"/>
      <c r="BS11" s="114"/>
      <c r="BT11" s="114"/>
      <c r="BU11" s="114"/>
      <c r="BV11" s="115"/>
      <c r="BW11" s="115"/>
      <c r="BX11" s="123"/>
    </row>
    <row r="12" spans="1:76" x14ac:dyDescent="0.3">
      <c r="A12" s="45"/>
      <c r="B12" s="41"/>
      <c r="C12" s="41"/>
      <c r="D12" s="42"/>
      <c r="E12" s="46"/>
      <c r="F12" s="39"/>
      <c r="G12" s="39"/>
      <c r="H12" s="41"/>
      <c r="I12" s="41"/>
      <c r="J12" s="41"/>
      <c r="K12" s="40"/>
      <c r="L12" s="41"/>
      <c r="M12" s="41"/>
      <c r="N12" s="42"/>
      <c r="O12" s="42"/>
      <c r="P12" s="44"/>
      <c r="Q12" s="39"/>
      <c r="R12" s="39"/>
      <c r="S12" s="40"/>
      <c r="T12" s="41"/>
      <c r="U12" s="41"/>
      <c r="V12" s="40"/>
      <c r="W12" s="41"/>
      <c r="X12" s="42"/>
      <c r="Y12" s="41"/>
      <c r="Z12" s="44"/>
      <c r="AA12" s="46"/>
      <c r="AB12" s="39"/>
      <c r="AC12" s="40"/>
      <c r="AD12" s="41"/>
      <c r="AE12" s="41"/>
      <c r="AF12" s="40"/>
      <c r="AG12" s="41"/>
      <c r="AH12" s="42"/>
      <c r="AI12" s="42"/>
      <c r="AJ12" s="42"/>
      <c r="AK12" s="46"/>
      <c r="AL12" s="39"/>
      <c r="AM12" s="40"/>
      <c r="AN12" s="41"/>
      <c r="AO12" s="41"/>
      <c r="AP12" s="40"/>
      <c r="AQ12" s="41"/>
      <c r="AR12" s="42"/>
      <c r="AS12" s="42"/>
      <c r="AT12" s="44"/>
      <c r="AU12" s="39"/>
      <c r="AV12" s="39"/>
      <c r="AW12" s="40"/>
      <c r="AX12" s="41"/>
      <c r="AY12" s="41"/>
      <c r="AZ12" s="40"/>
      <c r="BA12" s="41"/>
      <c r="BB12" s="42"/>
      <c r="BC12" s="42"/>
      <c r="BD12" s="42"/>
      <c r="BE12" s="43"/>
      <c r="BF12" s="45"/>
      <c r="BG12" s="41"/>
      <c r="BH12" s="41"/>
      <c r="BI12" s="41"/>
      <c r="BJ12" s="41"/>
      <c r="BK12" s="41"/>
      <c r="BL12" s="42"/>
      <c r="BM12" s="42"/>
      <c r="BN12" s="44"/>
      <c r="BO12" s="43"/>
      <c r="BP12" s="45"/>
      <c r="BQ12" s="41"/>
      <c r="BR12" s="41"/>
      <c r="BS12" s="41"/>
      <c r="BT12" s="41"/>
      <c r="BU12" s="41"/>
      <c r="BV12" s="42"/>
      <c r="BW12" s="42"/>
      <c r="BX12" s="44"/>
    </row>
    <row r="13" spans="1:76" x14ac:dyDescent="0.3">
      <c r="A13" s="65"/>
      <c r="B13" s="66"/>
      <c r="C13" s="66"/>
      <c r="D13" s="67"/>
      <c r="E13" s="75"/>
      <c r="F13" s="76"/>
      <c r="G13" s="76"/>
      <c r="H13" s="77"/>
      <c r="I13" s="77"/>
      <c r="J13" s="77"/>
      <c r="K13" s="78"/>
      <c r="L13" s="77"/>
      <c r="M13" s="77"/>
      <c r="N13" s="79"/>
      <c r="O13" s="79"/>
      <c r="P13" s="80"/>
      <c r="Q13" s="93"/>
      <c r="R13" s="93"/>
      <c r="S13" s="94"/>
      <c r="T13" s="95"/>
      <c r="U13" s="95"/>
      <c r="V13" s="94"/>
      <c r="W13" s="95"/>
      <c r="X13" s="96"/>
      <c r="Y13" s="95"/>
      <c r="Z13" s="98"/>
      <c r="AA13" s="111"/>
      <c r="AB13" s="112"/>
      <c r="AC13" s="113"/>
      <c r="AD13" s="114"/>
      <c r="AE13" s="114"/>
      <c r="AF13" s="113"/>
      <c r="AG13" s="114"/>
      <c r="AH13" s="115"/>
      <c r="AI13" s="115"/>
      <c r="AJ13" s="115"/>
      <c r="AK13" s="97"/>
      <c r="AL13" s="93"/>
      <c r="AM13" s="94"/>
      <c r="AN13" s="95"/>
      <c r="AO13" s="95"/>
      <c r="AP13" s="94"/>
      <c r="AQ13" s="95"/>
      <c r="AR13" s="96"/>
      <c r="AS13" s="96"/>
      <c r="AT13" s="98"/>
      <c r="AU13" s="112"/>
      <c r="AV13" s="112"/>
      <c r="AW13" s="113"/>
      <c r="AX13" s="114"/>
      <c r="AY13" s="114"/>
      <c r="AZ13" s="113"/>
      <c r="BA13" s="114"/>
      <c r="BB13" s="115"/>
      <c r="BC13" s="115"/>
      <c r="BD13" s="115"/>
      <c r="BE13" s="99"/>
      <c r="BF13" s="100"/>
      <c r="BG13" s="95"/>
      <c r="BH13" s="95"/>
      <c r="BI13" s="95"/>
      <c r="BJ13" s="95"/>
      <c r="BK13" s="95"/>
      <c r="BL13" s="96"/>
      <c r="BM13" s="96"/>
      <c r="BN13" s="98"/>
      <c r="BO13" s="121"/>
      <c r="BP13" s="122"/>
      <c r="BQ13" s="114"/>
      <c r="BR13" s="114"/>
      <c r="BS13" s="114"/>
      <c r="BT13" s="114"/>
      <c r="BU13" s="114"/>
      <c r="BV13" s="115"/>
      <c r="BW13" s="115"/>
      <c r="BX13" s="123"/>
    </row>
    <row r="14" spans="1:76" x14ac:dyDescent="0.3">
      <c r="A14" s="45"/>
      <c r="B14" s="41"/>
      <c r="C14" s="41"/>
      <c r="D14" s="42"/>
      <c r="E14" s="46"/>
      <c r="F14" s="39"/>
      <c r="G14" s="39"/>
      <c r="H14" s="41"/>
      <c r="I14" s="41"/>
      <c r="J14" s="41"/>
      <c r="K14" s="40"/>
      <c r="L14" s="41"/>
      <c r="M14" s="41"/>
      <c r="N14" s="42"/>
      <c r="O14" s="42"/>
      <c r="P14" s="47"/>
      <c r="Q14" s="39"/>
      <c r="R14" s="39"/>
      <c r="S14" s="40"/>
      <c r="T14" s="41"/>
      <c r="U14" s="41"/>
      <c r="V14" s="40"/>
      <c r="W14" s="41"/>
      <c r="X14" s="42"/>
      <c r="Y14" s="41"/>
      <c r="Z14" s="44"/>
      <c r="AA14" s="46"/>
      <c r="AB14" s="39"/>
      <c r="AC14" s="40"/>
      <c r="AD14" s="41"/>
      <c r="AE14" s="41"/>
      <c r="AF14" s="40"/>
      <c r="AG14" s="41"/>
      <c r="AH14" s="42"/>
      <c r="AI14" s="42"/>
      <c r="AJ14" s="42"/>
      <c r="AK14" s="46"/>
      <c r="AL14" s="39"/>
      <c r="AM14" s="40"/>
      <c r="AN14" s="41"/>
      <c r="AO14" s="41"/>
      <c r="AP14" s="40"/>
      <c r="AQ14" s="41"/>
      <c r="AR14" s="42"/>
      <c r="AS14" s="42"/>
      <c r="AT14" s="44"/>
      <c r="AU14" s="39"/>
      <c r="AV14" s="39"/>
      <c r="AW14" s="40"/>
      <c r="AX14" s="41"/>
      <c r="AY14" s="41"/>
      <c r="AZ14" s="40"/>
      <c r="BA14" s="41"/>
      <c r="BB14" s="42"/>
      <c r="BC14" s="42"/>
      <c r="BD14" s="42"/>
      <c r="BE14" s="43"/>
      <c r="BF14" s="45"/>
      <c r="BG14" s="41"/>
      <c r="BH14" s="41"/>
      <c r="BI14" s="41"/>
      <c r="BJ14" s="41"/>
      <c r="BK14" s="41"/>
      <c r="BL14" s="42"/>
      <c r="BM14" s="42"/>
      <c r="BN14" s="44"/>
      <c r="BO14" s="43"/>
      <c r="BP14" s="45"/>
      <c r="BQ14" s="41"/>
      <c r="BR14" s="41"/>
      <c r="BS14" s="41"/>
      <c r="BT14" s="41"/>
      <c r="BU14" s="41"/>
      <c r="BV14" s="42"/>
      <c r="BW14" s="42"/>
      <c r="BX14" s="44"/>
    </row>
    <row r="15" spans="1:76" x14ac:dyDescent="0.3">
      <c r="A15" s="65"/>
      <c r="B15" s="66"/>
      <c r="C15" s="66"/>
      <c r="D15" s="67"/>
      <c r="E15" s="75"/>
      <c r="F15" s="76"/>
      <c r="G15" s="76"/>
      <c r="H15" s="77"/>
      <c r="I15" s="77"/>
      <c r="J15" s="77"/>
      <c r="K15" s="78"/>
      <c r="L15" s="77"/>
      <c r="M15" s="77"/>
      <c r="N15" s="79"/>
      <c r="O15" s="79"/>
      <c r="P15" s="80"/>
      <c r="Q15" s="93"/>
      <c r="R15" s="93"/>
      <c r="S15" s="94"/>
      <c r="T15" s="95"/>
      <c r="U15" s="95"/>
      <c r="V15" s="94"/>
      <c r="W15" s="95"/>
      <c r="X15" s="96"/>
      <c r="Y15" s="95"/>
      <c r="Z15" s="98"/>
      <c r="AA15" s="111"/>
      <c r="AB15" s="112"/>
      <c r="AC15" s="113"/>
      <c r="AD15" s="114"/>
      <c r="AE15" s="114"/>
      <c r="AF15" s="113"/>
      <c r="AG15" s="114"/>
      <c r="AH15" s="115"/>
      <c r="AI15" s="115"/>
      <c r="AJ15" s="115"/>
      <c r="AK15" s="97"/>
      <c r="AL15" s="93"/>
      <c r="AM15" s="94"/>
      <c r="AN15" s="95"/>
      <c r="AO15" s="95"/>
      <c r="AP15" s="94"/>
      <c r="AQ15" s="95"/>
      <c r="AR15" s="96"/>
      <c r="AS15" s="96"/>
      <c r="AT15" s="98"/>
      <c r="AU15" s="112"/>
      <c r="AV15" s="112"/>
      <c r="AW15" s="113"/>
      <c r="AX15" s="114"/>
      <c r="AY15" s="114"/>
      <c r="AZ15" s="113"/>
      <c r="BA15" s="114"/>
      <c r="BB15" s="115"/>
      <c r="BC15" s="115"/>
      <c r="BD15" s="115"/>
      <c r="BE15" s="99"/>
      <c r="BF15" s="100"/>
      <c r="BG15" s="95"/>
      <c r="BH15" s="95"/>
      <c r="BI15" s="95"/>
      <c r="BJ15" s="95"/>
      <c r="BK15" s="95"/>
      <c r="BL15" s="96"/>
      <c r="BM15" s="96"/>
      <c r="BN15" s="98"/>
      <c r="BO15" s="121"/>
      <c r="BP15" s="122"/>
      <c r="BQ15" s="114"/>
      <c r="BR15" s="114"/>
      <c r="BS15" s="114"/>
      <c r="BT15" s="114"/>
      <c r="BU15" s="114"/>
      <c r="BV15" s="115"/>
      <c r="BW15" s="115"/>
      <c r="BX15" s="123"/>
    </row>
    <row r="16" spans="1:76" x14ac:dyDescent="0.3">
      <c r="A16" s="45"/>
      <c r="B16" s="41"/>
      <c r="C16" s="41"/>
      <c r="D16" s="42"/>
      <c r="E16" s="46"/>
      <c r="F16" s="39"/>
      <c r="G16" s="39"/>
      <c r="H16" s="41"/>
      <c r="I16" s="41"/>
      <c r="J16" s="41"/>
      <c r="K16" s="40"/>
      <c r="L16" s="41"/>
      <c r="M16" s="41"/>
      <c r="N16" s="42"/>
      <c r="O16" s="42"/>
      <c r="P16" s="44"/>
      <c r="Q16" s="39"/>
      <c r="R16" s="39"/>
      <c r="S16" s="40"/>
      <c r="T16" s="41"/>
      <c r="U16" s="41"/>
      <c r="V16" s="40"/>
      <c r="W16" s="41"/>
      <c r="X16" s="42"/>
      <c r="Y16" s="41"/>
      <c r="Z16" s="44"/>
      <c r="AA16" s="46"/>
      <c r="AB16" s="39"/>
      <c r="AC16" s="40"/>
      <c r="AD16" s="41"/>
      <c r="AE16" s="41"/>
      <c r="AF16" s="40"/>
      <c r="AG16" s="41"/>
      <c r="AH16" s="42"/>
      <c r="AI16" s="42"/>
      <c r="AJ16" s="42"/>
      <c r="AK16" s="46"/>
      <c r="AL16" s="39"/>
      <c r="AM16" s="40"/>
      <c r="AN16" s="41"/>
      <c r="AO16" s="41"/>
      <c r="AP16" s="40"/>
      <c r="AQ16" s="41"/>
      <c r="AR16" s="42"/>
      <c r="AS16" s="42"/>
      <c r="AT16" s="44"/>
      <c r="AU16" s="39"/>
      <c r="AV16" s="39"/>
      <c r="AW16" s="40"/>
      <c r="AX16" s="41"/>
      <c r="AY16" s="41"/>
      <c r="AZ16" s="40"/>
      <c r="BA16" s="41"/>
      <c r="BB16" s="42"/>
      <c r="BC16" s="42"/>
      <c r="BD16" s="42"/>
      <c r="BE16" s="43"/>
      <c r="BF16" s="45"/>
      <c r="BG16" s="41"/>
      <c r="BH16" s="41"/>
      <c r="BI16" s="41"/>
      <c r="BJ16" s="41"/>
      <c r="BK16" s="41"/>
      <c r="BL16" s="42"/>
      <c r="BM16" s="42"/>
      <c r="BN16" s="44"/>
      <c r="BO16" s="43"/>
      <c r="BP16" s="45"/>
      <c r="BQ16" s="41"/>
      <c r="BR16" s="41"/>
      <c r="BS16" s="41"/>
      <c r="BT16" s="41"/>
      <c r="BU16" s="41"/>
      <c r="BV16" s="42"/>
      <c r="BW16" s="42"/>
      <c r="BX16" s="44"/>
    </row>
    <row r="17" spans="1:76" x14ac:dyDescent="0.3">
      <c r="A17" s="65"/>
      <c r="B17" s="66"/>
      <c r="C17" s="66"/>
      <c r="D17" s="67"/>
      <c r="E17" s="75"/>
      <c r="F17" s="76"/>
      <c r="G17" s="76"/>
      <c r="H17" s="77"/>
      <c r="I17" s="77"/>
      <c r="J17" s="77"/>
      <c r="K17" s="78"/>
      <c r="L17" s="77"/>
      <c r="M17" s="77"/>
      <c r="N17" s="79"/>
      <c r="O17" s="79"/>
      <c r="P17" s="80"/>
      <c r="Q17" s="93"/>
      <c r="R17" s="93"/>
      <c r="S17" s="94"/>
      <c r="T17" s="95"/>
      <c r="U17" s="95"/>
      <c r="V17" s="94"/>
      <c r="W17" s="95"/>
      <c r="X17" s="96"/>
      <c r="Y17" s="95"/>
      <c r="Z17" s="98"/>
      <c r="AA17" s="111"/>
      <c r="AB17" s="112"/>
      <c r="AC17" s="113"/>
      <c r="AD17" s="114"/>
      <c r="AE17" s="114"/>
      <c r="AF17" s="113"/>
      <c r="AG17" s="114"/>
      <c r="AH17" s="115"/>
      <c r="AI17" s="115"/>
      <c r="AJ17" s="115"/>
      <c r="AK17" s="97"/>
      <c r="AL17" s="93"/>
      <c r="AM17" s="94"/>
      <c r="AN17" s="95"/>
      <c r="AO17" s="95"/>
      <c r="AP17" s="94"/>
      <c r="AQ17" s="95"/>
      <c r="AR17" s="96"/>
      <c r="AS17" s="96"/>
      <c r="AT17" s="98"/>
      <c r="AU17" s="112"/>
      <c r="AV17" s="112"/>
      <c r="AW17" s="113"/>
      <c r="AX17" s="114"/>
      <c r="AY17" s="114"/>
      <c r="AZ17" s="113"/>
      <c r="BA17" s="114"/>
      <c r="BB17" s="115"/>
      <c r="BC17" s="115"/>
      <c r="BD17" s="115"/>
      <c r="BE17" s="99"/>
      <c r="BF17" s="100"/>
      <c r="BG17" s="95"/>
      <c r="BH17" s="95"/>
      <c r="BI17" s="95"/>
      <c r="BJ17" s="95"/>
      <c r="BK17" s="95"/>
      <c r="BL17" s="96"/>
      <c r="BM17" s="96"/>
      <c r="BN17" s="98"/>
      <c r="BO17" s="121"/>
      <c r="BP17" s="122"/>
      <c r="BQ17" s="114"/>
      <c r="BR17" s="114"/>
      <c r="BS17" s="114"/>
      <c r="BT17" s="114"/>
      <c r="BU17" s="114"/>
      <c r="BV17" s="115"/>
      <c r="BW17" s="115"/>
      <c r="BX17" s="123"/>
    </row>
    <row r="18" spans="1:76" x14ac:dyDescent="0.3">
      <c r="A18" s="45"/>
      <c r="B18" s="41"/>
      <c r="C18" s="41"/>
      <c r="D18" s="42"/>
      <c r="E18" s="46"/>
      <c r="F18" s="39"/>
      <c r="G18" s="39"/>
      <c r="H18" s="41"/>
      <c r="I18" s="41"/>
      <c r="J18" s="41"/>
      <c r="K18" s="40"/>
      <c r="L18" s="41"/>
      <c r="M18" s="41"/>
      <c r="N18" s="42"/>
      <c r="O18" s="42"/>
      <c r="P18" s="44"/>
      <c r="Q18" s="39"/>
      <c r="R18" s="39"/>
      <c r="S18" s="40"/>
      <c r="T18" s="41"/>
      <c r="U18" s="41"/>
      <c r="V18" s="40"/>
      <c r="W18" s="41"/>
      <c r="X18" s="42"/>
      <c r="Y18" s="41"/>
      <c r="Z18" s="44"/>
      <c r="AA18" s="46"/>
      <c r="AB18" s="39"/>
      <c r="AC18" s="40"/>
      <c r="AD18" s="41"/>
      <c r="AE18" s="41"/>
      <c r="AF18" s="40"/>
      <c r="AG18" s="41"/>
      <c r="AH18" s="42"/>
      <c r="AI18" s="42"/>
      <c r="AJ18" s="42"/>
      <c r="AK18" s="46"/>
      <c r="AL18" s="39"/>
      <c r="AM18" s="40"/>
      <c r="AN18" s="41"/>
      <c r="AO18" s="41"/>
      <c r="AP18" s="40"/>
      <c r="AQ18" s="41"/>
      <c r="AR18" s="42"/>
      <c r="AS18" s="42"/>
      <c r="AT18" s="44"/>
      <c r="AU18" s="39"/>
      <c r="AV18" s="39"/>
      <c r="AW18" s="40"/>
      <c r="AX18" s="41"/>
      <c r="AY18" s="41"/>
      <c r="AZ18" s="40"/>
      <c r="BA18" s="41"/>
      <c r="BB18" s="42"/>
      <c r="BC18" s="42"/>
      <c r="BD18" s="42"/>
      <c r="BE18" s="43"/>
      <c r="BF18" s="45"/>
      <c r="BG18" s="41"/>
      <c r="BH18" s="41"/>
      <c r="BI18" s="41"/>
      <c r="BJ18" s="41"/>
      <c r="BK18" s="41"/>
      <c r="BL18" s="42"/>
      <c r="BM18" s="42"/>
      <c r="BN18" s="44"/>
      <c r="BO18" s="43"/>
      <c r="BP18" s="45"/>
      <c r="BQ18" s="41"/>
      <c r="BR18" s="41"/>
      <c r="BS18" s="41"/>
      <c r="BT18" s="41"/>
      <c r="BU18" s="41"/>
      <c r="BV18" s="42"/>
      <c r="BW18" s="42"/>
      <c r="BX18" s="44"/>
    </row>
    <row r="19" spans="1:76" x14ac:dyDescent="0.3">
      <c r="A19" s="65"/>
      <c r="B19" s="66"/>
      <c r="C19" s="66"/>
      <c r="D19" s="67"/>
      <c r="E19" s="75"/>
      <c r="F19" s="76"/>
      <c r="G19" s="76"/>
      <c r="H19" s="77"/>
      <c r="I19" s="77"/>
      <c r="J19" s="77"/>
      <c r="K19" s="78"/>
      <c r="L19" s="77"/>
      <c r="M19" s="77"/>
      <c r="N19" s="79"/>
      <c r="O19" s="79"/>
      <c r="P19" s="80"/>
      <c r="Q19" s="93"/>
      <c r="R19" s="93"/>
      <c r="S19" s="94"/>
      <c r="T19" s="95"/>
      <c r="U19" s="95"/>
      <c r="V19" s="94"/>
      <c r="W19" s="95"/>
      <c r="X19" s="96"/>
      <c r="Y19" s="95"/>
      <c r="Z19" s="98"/>
      <c r="AA19" s="111"/>
      <c r="AB19" s="112"/>
      <c r="AC19" s="113"/>
      <c r="AD19" s="114"/>
      <c r="AE19" s="114"/>
      <c r="AF19" s="113"/>
      <c r="AG19" s="114"/>
      <c r="AH19" s="115"/>
      <c r="AI19" s="115"/>
      <c r="AJ19" s="115"/>
      <c r="AK19" s="97"/>
      <c r="AL19" s="93"/>
      <c r="AM19" s="94"/>
      <c r="AN19" s="95"/>
      <c r="AO19" s="95"/>
      <c r="AP19" s="94"/>
      <c r="AQ19" s="95"/>
      <c r="AR19" s="96"/>
      <c r="AS19" s="96"/>
      <c r="AT19" s="98"/>
      <c r="AU19" s="112"/>
      <c r="AV19" s="112"/>
      <c r="AW19" s="113"/>
      <c r="AX19" s="114"/>
      <c r="AY19" s="114"/>
      <c r="AZ19" s="113"/>
      <c r="BA19" s="114"/>
      <c r="BB19" s="115"/>
      <c r="BC19" s="115"/>
      <c r="BD19" s="115"/>
      <c r="BE19" s="99"/>
      <c r="BF19" s="100"/>
      <c r="BG19" s="95"/>
      <c r="BH19" s="95"/>
      <c r="BI19" s="95"/>
      <c r="BJ19" s="95"/>
      <c r="BK19" s="95"/>
      <c r="BL19" s="96"/>
      <c r="BM19" s="96"/>
      <c r="BN19" s="98"/>
      <c r="BO19" s="121"/>
      <c r="BP19" s="122"/>
      <c r="BQ19" s="114"/>
      <c r="BR19" s="114"/>
      <c r="BS19" s="114"/>
      <c r="BT19" s="114"/>
      <c r="BU19" s="114"/>
      <c r="BV19" s="115"/>
      <c r="BW19" s="115"/>
      <c r="BX19" s="123"/>
    </row>
    <row r="20" spans="1:76" x14ac:dyDescent="0.3">
      <c r="A20" s="45"/>
      <c r="B20" s="41"/>
      <c r="C20" s="41"/>
      <c r="D20" s="42"/>
      <c r="E20" s="46"/>
      <c r="F20" s="39"/>
      <c r="G20" s="39"/>
      <c r="H20" s="41"/>
      <c r="I20" s="41"/>
      <c r="J20" s="41"/>
      <c r="K20" s="40"/>
      <c r="L20" s="41"/>
      <c r="M20" s="41"/>
      <c r="N20" s="42"/>
      <c r="O20" s="42"/>
      <c r="P20" s="44"/>
      <c r="Q20" s="39"/>
      <c r="R20" s="39"/>
      <c r="S20" s="40"/>
      <c r="T20" s="41"/>
      <c r="U20" s="41"/>
      <c r="V20" s="40"/>
      <c r="W20" s="41"/>
      <c r="X20" s="42"/>
      <c r="Y20" s="41"/>
      <c r="Z20" s="44"/>
      <c r="AA20" s="46"/>
      <c r="AB20" s="39"/>
      <c r="AC20" s="40"/>
      <c r="AD20" s="41"/>
      <c r="AE20" s="41"/>
      <c r="AF20" s="40"/>
      <c r="AG20" s="41"/>
      <c r="AH20" s="42"/>
      <c r="AI20" s="42"/>
      <c r="AJ20" s="42"/>
      <c r="AK20" s="46"/>
      <c r="AL20" s="39"/>
      <c r="AM20" s="40"/>
      <c r="AN20" s="41"/>
      <c r="AO20" s="41"/>
      <c r="AP20" s="40"/>
      <c r="AQ20" s="41"/>
      <c r="AR20" s="42"/>
      <c r="AS20" s="42"/>
      <c r="AT20" s="44"/>
      <c r="AU20" s="39"/>
      <c r="AV20" s="39"/>
      <c r="AW20" s="40"/>
      <c r="AX20" s="41"/>
      <c r="AY20" s="41"/>
      <c r="AZ20" s="40"/>
      <c r="BA20" s="41"/>
      <c r="BB20" s="42"/>
      <c r="BC20" s="42"/>
      <c r="BD20" s="42"/>
      <c r="BE20" s="43"/>
      <c r="BF20" s="45"/>
      <c r="BG20" s="41"/>
      <c r="BH20" s="41"/>
      <c r="BI20" s="41"/>
      <c r="BJ20" s="41"/>
      <c r="BK20" s="41"/>
      <c r="BL20" s="42"/>
      <c r="BM20" s="42"/>
      <c r="BN20" s="44"/>
      <c r="BO20" s="43"/>
      <c r="BP20" s="45"/>
      <c r="BQ20" s="41"/>
      <c r="BR20" s="41"/>
      <c r="BS20" s="41"/>
      <c r="BT20" s="41"/>
      <c r="BU20" s="41"/>
      <c r="BV20" s="42"/>
      <c r="BW20" s="42"/>
      <c r="BX20" s="44"/>
    </row>
    <row r="21" spans="1:76" x14ac:dyDescent="0.3">
      <c r="A21" s="65"/>
      <c r="B21" s="66"/>
      <c r="C21" s="66"/>
      <c r="D21" s="67"/>
      <c r="E21" s="75"/>
      <c r="F21" s="76"/>
      <c r="G21" s="76"/>
      <c r="H21" s="77"/>
      <c r="I21" s="77"/>
      <c r="J21" s="77"/>
      <c r="K21" s="78"/>
      <c r="L21" s="77"/>
      <c r="M21" s="77"/>
      <c r="N21" s="79"/>
      <c r="O21" s="79"/>
      <c r="P21" s="80"/>
      <c r="Q21" s="93"/>
      <c r="R21" s="93"/>
      <c r="S21" s="94"/>
      <c r="T21" s="95"/>
      <c r="U21" s="95"/>
      <c r="V21" s="94"/>
      <c r="W21" s="95"/>
      <c r="X21" s="96"/>
      <c r="Y21" s="95"/>
      <c r="Z21" s="98"/>
      <c r="AA21" s="111"/>
      <c r="AB21" s="112"/>
      <c r="AC21" s="113"/>
      <c r="AD21" s="114"/>
      <c r="AE21" s="114"/>
      <c r="AF21" s="113"/>
      <c r="AG21" s="114"/>
      <c r="AH21" s="115"/>
      <c r="AI21" s="115"/>
      <c r="AJ21" s="115"/>
      <c r="AK21" s="97"/>
      <c r="AL21" s="93"/>
      <c r="AM21" s="94"/>
      <c r="AN21" s="95"/>
      <c r="AO21" s="95"/>
      <c r="AP21" s="94"/>
      <c r="AQ21" s="95"/>
      <c r="AR21" s="96"/>
      <c r="AS21" s="96"/>
      <c r="AT21" s="98"/>
      <c r="AU21" s="112"/>
      <c r="AV21" s="112"/>
      <c r="AW21" s="113"/>
      <c r="AX21" s="114"/>
      <c r="AY21" s="114"/>
      <c r="AZ21" s="113"/>
      <c r="BA21" s="114"/>
      <c r="BB21" s="115"/>
      <c r="BC21" s="115"/>
      <c r="BD21" s="115"/>
      <c r="BE21" s="99"/>
      <c r="BF21" s="100"/>
      <c r="BG21" s="95"/>
      <c r="BH21" s="95"/>
      <c r="BI21" s="95"/>
      <c r="BJ21" s="95"/>
      <c r="BK21" s="95"/>
      <c r="BL21" s="96"/>
      <c r="BM21" s="96"/>
      <c r="BN21" s="98"/>
      <c r="BO21" s="121"/>
      <c r="BP21" s="122"/>
      <c r="BQ21" s="114"/>
      <c r="BR21" s="114"/>
      <c r="BS21" s="114"/>
      <c r="BT21" s="114"/>
      <c r="BU21" s="114"/>
      <c r="BV21" s="115"/>
      <c r="BW21" s="115"/>
      <c r="BX21" s="123"/>
    </row>
    <row r="22" spans="1:76" x14ac:dyDescent="0.3">
      <c r="A22" s="45"/>
      <c r="B22" s="41"/>
      <c r="C22" s="41"/>
      <c r="D22" s="42"/>
      <c r="E22" s="46"/>
      <c r="F22" s="39"/>
      <c r="G22" s="39"/>
      <c r="H22" s="41"/>
      <c r="I22" s="41"/>
      <c r="J22" s="41"/>
      <c r="K22" s="40"/>
      <c r="L22" s="41"/>
      <c r="M22" s="41"/>
      <c r="N22" s="42"/>
      <c r="O22" s="42"/>
      <c r="P22" s="44"/>
      <c r="Q22" s="39"/>
      <c r="R22" s="39"/>
      <c r="S22" s="40"/>
      <c r="T22" s="41"/>
      <c r="U22" s="41"/>
      <c r="V22" s="40"/>
      <c r="W22" s="41"/>
      <c r="X22" s="42"/>
      <c r="Y22" s="41"/>
      <c r="Z22" s="44"/>
      <c r="AA22" s="46"/>
      <c r="AB22" s="39"/>
      <c r="AC22" s="40"/>
      <c r="AD22" s="41"/>
      <c r="AE22" s="41"/>
      <c r="AF22" s="40"/>
      <c r="AG22" s="41"/>
      <c r="AH22" s="42"/>
      <c r="AI22" s="42"/>
      <c r="AJ22" s="42"/>
      <c r="AK22" s="46"/>
      <c r="AL22" s="39"/>
      <c r="AM22" s="40"/>
      <c r="AN22" s="41"/>
      <c r="AO22" s="41"/>
      <c r="AP22" s="40"/>
      <c r="AQ22" s="41"/>
      <c r="AR22" s="42"/>
      <c r="AS22" s="42"/>
      <c r="AT22" s="44"/>
      <c r="AU22" s="39"/>
      <c r="AV22" s="39"/>
      <c r="AW22" s="40"/>
      <c r="AX22" s="41"/>
      <c r="AY22" s="41"/>
      <c r="AZ22" s="40"/>
      <c r="BA22" s="41"/>
      <c r="BB22" s="42"/>
      <c r="BC22" s="42"/>
      <c r="BD22" s="42"/>
      <c r="BE22" s="43"/>
      <c r="BF22" s="45"/>
      <c r="BG22" s="41"/>
      <c r="BH22" s="41"/>
      <c r="BI22" s="41"/>
      <c r="BJ22" s="41"/>
      <c r="BK22" s="41"/>
      <c r="BL22" s="42"/>
      <c r="BM22" s="42"/>
      <c r="BN22" s="44"/>
      <c r="BO22" s="43"/>
      <c r="BP22" s="45"/>
      <c r="BQ22" s="41"/>
      <c r="BR22" s="41"/>
      <c r="BS22" s="41"/>
      <c r="BT22" s="41"/>
      <c r="BU22" s="41"/>
      <c r="BV22" s="42"/>
      <c r="BW22" s="42"/>
      <c r="BX22" s="44"/>
    </row>
    <row r="23" spans="1:76" x14ac:dyDescent="0.3">
      <c r="A23" s="65"/>
      <c r="B23" s="66"/>
      <c r="C23" s="66"/>
      <c r="D23" s="67"/>
      <c r="E23" s="75"/>
      <c r="F23" s="76"/>
      <c r="G23" s="76"/>
      <c r="H23" s="77"/>
      <c r="I23" s="77"/>
      <c r="J23" s="77"/>
      <c r="K23" s="78"/>
      <c r="L23" s="77"/>
      <c r="M23" s="77"/>
      <c r="N23" s="79"/>
      <c r="O23" s="79"/>
      <c r="P23" s="80"/>
      <c r="Q23" s="93"/>
      <c r="R23" s="93"/>
      <c r="S23" s="94"/>
      <c r="T23" s="95"/>
      <c r="U23" s="95"/>
      <c r="V23" s="94"/>
      <c r="W23" s="95"/>
      <c r="X23" s="96"/>
      <c r="Y23" s="95"/>
      <c r="Z23" s="98"/>
      <c r="AA23" s="111"/>
      <c r="AB23" s="112"/>
      <c r="AC23" s="113"/>
      <c r="AD23" s="114"/>
      <c r="AE23" s="114"/>
      <c r="AF23" s="113"/>
      <c r="AG23" s="114"/>
      <c r="AH23" s="115"/>
      <c r="AI23" s="115"/>
      <c r="AJ23" s="115"/>
      <c r="AK23" s="97"/>
      <c r="AL23" s="93"/>
      <c r="AM23" s="94"/>
      <c r="AN23" s="95"/>
      <c r="AO23" s="95"/>
      <c r="AP23" s="94"/>
      <c r="AQ23" s="95"/>
      <c r="AR23" s="96"/>
      <c r="AS23" s="96"/>
      <c r="AT23" s="98"/>
      <c r="AU23" s="112"/>
      <c r="AV23" s="112"/>
      <c r="AW23" s="113"/>
      <c r="AX23" s="114"/>
      <c r="AY23" s="114"/>
      <c r="AZ23" s="113"/>
      <c r="BA23" s="114"/>
      <c r="BB23" s="115"/>
      <c r="BC23" s="115"/>
      <c r="BD23" s="115"/>
      <c r="BE23" s="99"/>
      <c r="BF23" s="100"/>
      <c r="BG23" s="95"/>
      <c r="BH23" s="95"/>
      <c r="BI23" s="95"/>
      <c r="BJ23" s="95"/>
      <c r="BK23" s="95"/>
      <c r="BL23" s="96"/>
      <c r="BM23" s="96"/>
      <c r="BN23" s="98"/>
      <c r="BO23" s="121"/>
      <c r="BP23" s="122"/>
      <c r="BQ23" s="114"/>
      <c r="BR23" s="114"/>
      <c r="BS23" s="114"/>
      <c r="BT23" s="114"/>
      <c r="BU23" s="114"/>
      <c r="BV23" s="115"/>
      <c r="BW23" s="115"/>
      <c r="BX23" s="123"/>
    </row>
    <row r="24" spans="1:76" x14ac:dyDescent="0.3">
      <c r="A24" s="45"/>
      <c r="B24" s="41"/>
      <c r="C24" s="41"/>
      <c r="D24" s="42"/>
      <c r="E24" s="46"/>
      <c r="F24" s="39"/>
      <c r="G24" s="39"/>
      <c r="H24" s="41"/>
      <c r="I24" s="41"/>
      <c r="J24" s="41"/>
      <c r="K24" s="40"/>
      <c r="L24" s="41"/>
      <c r="M24" s="41"/>
      <c r="N24" s="42"/>
      <c r="O24" s="42"/>
      <c r="P24" s="44"/>
      <c r="Q24" s="39"/>
      <c r="R24" s="39"/>
      <c r="S24" s="40"/>
      <c r="T24" s="41"/>
      <c r="U24" s="41"/>
      <c r="V24" s="40"/>
      <c r="W24" s="41"/>
      <c r="X24" s="42"/>
      <c r="Y24" s="41"/>
      <c r="Z24" s="44"/>
      <c r="AA24" s="46"/>
      <c r="AB24" s="39"/>
      <c r="AC24" s="40"/>
      <c r="AD24" s="41"/>
      <c r="AE24" s="41"/>
      <c r="AF24" s="40"/>
      <c r="AG24" s="41"/>
      <c r="AH24" s="42"/>
      <c r="AI24" s="42"/>
      <c r="AJ24" s="42"/>
      <c r="AK24" s="46"/>
      <c r="AL24" s="39"/>
      <c r="AM24" s="40"/>
      <c r="AN24" s="41"/>
      <c r="AO24" s="41"/>
      <c r="AP24" s="40"/>
      <c r="AQ24" s="41"/>
      <c r="AR24" s="42"/>
      <c r="AS24" s="42"/>
      <c r="AT24" s="44"/>
      <c r="AU24" s="39"/>
      <c r="AV24" s="39"/>
      <c r="AW24" s="40"/>
      <c r="AX24" s="41"/>
      <c r="AY24" s="41"/>
      <c r="AZ24" s="40"/>
      <c r="BA24" s="41"/>
      <c r="BB24" s="42"/>
      <c r="BC24" s="42"/>
      <c r="BD24" s="42"/>
      <c r="BE24" s="43"/>
      <c r="BF24" s="45"/>
      <c r="BG24" s="41"/>
      <c r="BH24" s="41"/>
      <c r="BI24" s="41"/>
      <c r="BJ24" s="41"/>
      <c r="BK24" s="41"/>
      <c r="BL24" s="42"/>
      <c r="BM24" s="42"/>
      <c r="BN24" s="44"/>
      <c r="BO24" s="43"/>
      <c r="BP24" s="45"/>
      <c r="BQ24" s="41"/>
      <c r="BR24" s="41"/>
      <c r="BS24" s="41"/>
      <c r="BT24" s="41"/>
      <c r="BU24" s="41"/>
      <c r="BV24" s="42"/>
      <c r="BW24" s="42"/>
      <c r="BX24" s="44"/>
    </row>
    <row r="25" spans="1:76" x14ac:dyDescent="0.3">
      <c r="A25" s="65"/>
      <c r="B25" s="66"/>
      <c r="C25" s="66"/>
      <c r="D25" s="67"/>
      <c r="E25" s="75"/>
      <c r="F25" s="76"/>
      <c r="G25" s="76"/>
      <c r="H25" s="77"/>
      <c r="I25" s="77"/>
      <c r="J25" s="77"/>
      <c r="K25" s="78"/>
      <c r="L25" s="77"/>
      <c r="M25" s="77"/>
      <c r="N25" s="79"/>
      <c r="O25" s="79"/>
      <c r="P25" s="80"/>
      <c r="Q25" s="93"/>
      <c r="R25" s="93"/>
      <c r="S25" s="94"/>
      <c r="T25" s="95"/>
      <c r="U25" s="95"/>
      <c r="V25" s="94"/>
      <c r="W25" s="95"/>
      <c r="X25" s="96"/>
      <c r="Y25" s="95"/>
      <c r="Z25" s="98"/>
      <c r="AA25" s="111"/>
      <c r="AB25" s="112"/>
      <c r="AC25" s="113"/>
      <c r="AD25" s="114"/>
      <c r="AE25" s="114"/>
      <c r="AF25" s="113"/>
      <c r="AG25" s="114"/>
      <c r="AH25" s="115"/>
      <c r="AI25" s="115"/>
      <c r="AJ25" s="115"/>
      <c r="AK25" s="97"/>
      <c r="AL25" s="93"/>
      <c r="AM25" s="94"/>
      <c r="AN25" s="95"/>
      <c r="AO25" s="95"/>
      <c r="AP25" s="94"/>
      <c r="AQ25" s="95"/>
      <c r="AR25" s="96"/>
      <c r="AS25" s="96"/>
      <c r="AT25" s="98"/>
      <c r="AU25" s="112"/>
      <c r="AV25" s="112"/>
      <c r="AW25" s="113"/>
      <c r="AX25" s="114"/>
      <c r="AY25" s="114"/>
      <c r="AZ25" s="113"/>
      <c r="BA25" s="114"/>
      <c r="BB25" s="115"/>
      <c r="BC25" s="115"/>
      <c r="BD25" s="115"/>
      <c r="BE25" s="99"/>
      <c r="BF25" s="100"/>
      <c r="BG25" s="95"/>
      <c r="BH25" s="95"/>
      <c r="BI25" s="95"/>
      <c r="BJ25" s="95"/>
      <c r="BK25" s="95"/>
      <c r="BL25" s="96"/>
      <c r="BM25" s="96"/>
      <c r="BN25" s="98"/>
      <c r="BO25" s="121"/>
      <c r="BP25" s="122"/>
      <c r="BQ25" s="114"/>
      <c r="BR25" s="114"/>
      <c r="BS25" s="114"/>
      <c r="BT25" s="114"/>
      <c r="BU25" s="114"/>
      <c r="BV25" s="115"/>
      <c r="BW25" s="115"/>
      <c r="BX25" s="123"/>
    </row>
    <row r="26" spans="1:76" x14ac:dyDescent="0.3">
      <c r="A26" s="45"/>
      <c r="B26" s="41"/>
      <c r="C26" s="41"/>
      <c r="D26" s="42"/>
      <c r="E26" s="46"/>
      <c r="F26" s="39"/>
      <c r="G26" s="39"/>
      <c r="H26" s="41"/>
      <c r="I26" s="41"/>
      <c r="J26" s="41"/>
      <c r="K26" s="40"/>
      <c r="L26" s="41"/>
      <c r="M26" s="41"/>
      <c r="N26" s="42"/>
      <c r="O26" s="42"/>
      <c r="P26" s="44"/>
      <c r="Q26" s="39"/>
      <c r="R26" s="39"/>
      <c r="S26" s="40"/>
      <c r="T26" s="41"/>
      <c r="U26" s="41"/>
      <c r="V26" s="40"/>
      <c r="W26" s="41"/>
      <c r="X26" s="42"/>
      <c r="Y26" s="41"/>
      <c r="Z26" s="44"/>
      <c r="AA26" s="46"/>
      <c r="AB26" s="39"/>
      <c r="AC26" s="40"/>
      <c r="AD26" s="41"/>
      <c r="AE26" s="41"/>
      <c r="AF26" s="40"/>
      <c r="AG26" s="41"/>
      <c r="AH26" s="42"/>
      <c r="AI26" s="42"/>
      <c r="AJ26" s="42"/>
      <c r="AK26" s="46"/>
      <c r="AL26" s="39"/>
      <c r="AM26" s="40"/>
      <c r="AN26" s="41"/>
      <c r="AO26" s="41"/>
      <c r="AP26" s="40"/>
      <c r="AQ26" s="41"/>
      <c r="AR26" s="42"/>
      <c r="AS26" s="42"/>
      <c r="AT26" s="44"/>
      <c r="AU26" s="39"/>
      <c r="AV26" s="39"/>
      <c r="AW26" s="40"/>
      <c r="AX26" s="41"/>
      <c r="AY26" s="41"/>
      <c r="AZ26" s="40"/>
      <c r="BA26" s="41"/>
      <c r="BB26" s="42"/>
      <c r="BC26" s="42"/>
      <c r="BD26" s="42"/>
      <c r="BE26" s="43"/>
      <c r="BF26" s="45"/>
      <c r="BG26" s="41"/>
      <c r="BH26" s="41"/>
      <c r="BI26" s="41"/>
      <c r="BJ26" s="41"/>
      <c r="BK26" s="41"/>
      <c r="BL26" s="42"/>
      <c r="BM26" s="42"/>
      <c r="BN26" s="44"/>
      <c r="BO26" s="43"/>
      <c r="BP26" s="45"/>
      <c r="BQ26" s="41"/>
      <c r="BR26" s="41"/>
      <c r="BS26" s="41"/>
      <c r="BT26" s="41"/>
      <c r="BU26" s="41"/>
      <c r="BV26" s="42"/>
      <c r="BW26" s="42"/>
      <c r="BX26" s="44"/>
    </row>
    <row r="27" spans="1:76" x14ac:dyDescent="0.3">
      <c r="A27" s="65"/>
      <c r="B27" s="66"/>
      <c r="C27" s="66"/>
      <c r="D27" s="67"/>
      <c r="E27" s="75"/>
      <c r="F27" s="76"/>
      <c r="G27" s="76"/>
      <c r="H27" s="77"/>
      <c r="I27" s="77"/>
      <c r="J27" s="77"/>
      <c r="K27" s="78"/>
      <c r="L27" s="77"/>
      <c r="M27" s="77"/>
      <c r="N27" s="79"/>
      <c r="O27" s="79"/>
      <c r="P27" s="80"/>
      <c r="Q27" s="93"/>
      <c r="R27" s="93"/>
      <c r="S27" s="94"/>
      <c r="T27" s="95"/>
      <c r="U27" s="95"/>
      <c r="V27" s="94"/>
      <c r="W27" s="95"/>
      <c r="X27" s="96"/>
      <c r="Y27" s="95"/>
      <c r="Z27" s="98"/>
      <c r="AA27" s="111"/>
      <c r="AB27" s="112"/>
      <c r="AC27" s="113"/>
      <c r="AD27" s="114"/>
      <c r="AE27" s="114"/>
      <c r="AF27" s="113"/>
      <c r="AG27" s="114"/>
      <c r="AH27" s="115"/>
      <c r="AI27" s="115"/>
      <c r="AJ27" s="115"/>
      <c r="AK27" s="97"/>
      <c r="AL27" s="93"/>
      <c r="AM27" s="94"/>
      <c r="AN27" s="95"/>
      <c r="AO27" s="95"/>
      <c r="AP27" s="94"/>
      <c r="AQ27" s="95"/>
      <c r="AR27" s="96"/>
      <c r="AS27" s="96"/>
      <c r="AT27" s="98"/>
      <c r="AU27" s="112"/>
      <c r="AV27" s="112"/>
      <c r="AW27" s="113"/>
      <c r="AX27" s="114"/>
      <c r="AY27" s="114"/>
      <c r="AZ27" s="113"/>
      <c r="BA27" s="114"/>
      <c r="BB27" s="115"/>
      <c r="BC27" s="115"/>
      <c r="BD27" s="115"/>
      <c r="BE27" s="99"/>
      <c r="BF27" s="100"/>
      <c r="BG27" s="95"/>
      <c r="BH27" s="95"/>
      <c r="BI27" s="95"/>
      <c r="BJ27" s="95"/>
      <c r="BK27" s="95"/>
      <c r="BL27" s="96"/>
      <c r="BM27" s="96"/>
      <c r="BN27" s="98"/>
      <c r="BO27" s="121"/>
      <c r="BP27" s="122"/>
      <c r="BQ27" s="114"/>
      <c r="BR27" s="114"/>
      <c r="BS27" s="114"/>
      <c r="BT27" s="114"/>
      <c r="BU27" s="114"/>
      <c r="BV27" s="115"/>
      <c r="BW27" s="115"/>
      <c r="BX27" s="123"/>
    </row>
    <row r="28" spans="1:76" x14ac:dyDescent="0.3">
      <c r="A28" s="45"/>
      <c r="B28" s="41"/>
      <c r="C28" s="41"/>
      <c r="D28" s="42"/>
      <c r="E28" s="46"/>
      <c r="F28" s="39"/>
      <c r="G28" s="39"/>
      <c r="H28" s="41"/>
      <c r="I28" s="41"/>
      <c r="J28" s="41"/>
      <c r="K28" s="40"/>
      <c r="L28" s="41"/>
      <c r="M28" s="41"/>
      <c r="N28" s="42"/>
      <c r="O28" s="42"/>
      <c r="P28" s="44"/>
      <c r="Q28" s="39"/>
      <c r="R28" s="39"/>
      <c r="S28" s="40"/>
      <c r="T28" s="41"/>
      <c r="U28" s="41"/>
      <c r="V28" s="40"/>
      <c r="W28" s="41"/>
      <c r="X28" s="42"/>
      <c r="Y28" s="41"/>
      <c r="Z28" s="44"/>
      <c r="AA28" s="46"/>
      <c r="AB28" s="39"/>
      <c r="AC28" s="40"/>
      <c r="AD28" s="41"/>
      <c r="AE28" s="41"/>
      <c r="AF28" s="40"/>
      <c r="AG28" s="41"/>
      <c r="AH28" s="42"/>
      <c r="AI28" s="42"/>
      <c r="AJ28" s="42"/>
      <c r="AK28" s="46"/>
      <c r="AL28" s="39"/>
      <c r="AM28" s="40"/>
      <c r="AN28" s="41"/>
      <c r="AO28" s="41"/>
      <c r="AP28" s="40"/>
      <c r="AQ28" s="41"/>
      <c r="AR28" s="42"/>
      <c r="AS28" s="42"/>
      <c r="AT28" s="44"/>
      <c r="AU28" s="39"/>
      <c r="AV28" s="39"/>
      <c r="AW28" s="40"/>
      <c r="AX28" s="41"/>
      <c r="AY28" s="41"/>
      <c r="AZ28" s="40"/>
      <c r="BA28" s="41"/>
      <c r="BB28" s="42"/>
      <c r="BC28" s="42"/>
      <c r="BD28" s="42"/>
      <c r="BE28" s="43"/>
      <c r="BF28" s="45"/>
      <c r="BG28" s="41"/>
      <c r="BH28" s="41"/>
      <c r="BI28" s="41"/>
      <c r="BJ28" s="41"/>
      <c r="BK28" s="41"/>
      <c r="BL28" s="42"/>
      <c r="BM28" s="42"/>
      <c r="BN28" s="44"/>
      <c r="BO28" s="43"/>
      <c r="BP28" s="45"/>
      <c r="BQ28" s="41"/>
      <c r="BR28" s="41"/>
      <c r="BS28" s="41"/>
      <c r="BT28" s="41"/>
      <c r="BU28" s="41"/>
      <c r="BV28" s="42"/>
      <c r="BW28" s="42"/>
      <c r="BX28" s="44"/>
    </row>
    <row r="29" spans="1:76" x14ac:dyDescent="0.3">
      <c r="A29" s="65"/>
      <c r="B29" s="66"/>
      <c r="C29" s="66"/>
      <c r="D29" s="67"/>
      <c r="E29" s="75"/>
      <c r="F29" s="76"/>
      <c r="G29" s="76"/>
      <c r="H29" s="77"/>
      <c r="I29" s="77"/>
      <c r="J29" s="77"/>
      <c r="K29" s="78"/>
      <c r="L29" s="77"/>
      <c r="M29" s="77"/>
      <c r="N29" s="79"/>
      <c r="O29" s="79"/>
      <c r="P29" s="80"/>
      <c r="Q29" s="93"/>
      <c r="R29" s="93"/>
      <c r="S29" s="94"/>
      <c r="T29" s="95"/>
      <c r="U29" s="95"/>
      <c r="V29" s="94"/>
      <c r="W29" s="95"/>
      <c r="X29" s="96"/>
      <c r="Y29" s="95"/>
      <c r="Z29" s="98"/>
      <c r="AA29" s="111"/>
      <c r="AB29" s="112"/>
      <c r="AC29" s="113"/>
      <c r="AD29" s="114"/>
      <c r="AE29" s="114"/>
      <c r="AF29" s="113"/>
      <c r="AG29" s="114"/>
      <c r="AH29" s="115"/>
      <c r="AI29" s="115"/>
      <c r="AJ29" s="115"/>
      <c r="AK29" s="97"/>
      <c r="AL29" s="93"/>
      <c r="AM29" s="94"/>
      <c r="AN29" s="95"/>
      <c r="AO29" s="95"/>
      <c r="AP29" s="94"/>
      <c r="AQ29" s="95"/>
      <c r="AR29" s="96"/>
      <c r="AS29" s="96"/>
      <c r="AT29" s="98"/>
      <c r="AU29" s="112"/>
      <c r="AV29" s="112"/>
      <c r="AW29" s="113"/>
      <c r="AX29" s="114"/>
      <c r="AY29" s="114"/>
      <c r="AZ29" s="113"/>
      <c r="BA29" s="114"/>
      <c r="BB29" s="115"/>
      <c r="BC29" s="115"/>
      <c r="BD29" s="115"/>
      <c r="BE29" s="99"/>
      <c r="BF29" s="100"/>
      <c r="BG29" s="95"/>
      <c r="BH29" s="95"/>
      <c r="BI29" s="95"/>
      <c r="BJ29" s="95"/>
      <c r="BK29" s="95"/>
      <c r="BL29" s="96"/>
      <c r="BM29" s="96"/>
      <c r="BN29" s="98"/>
      <c r="BO29" s="121"/>
      <c r="BP29" s="122"/>
      <c r="BQ29" s="114"/>
      <c r="BR29" s="114"/>
      <c r="BS29" s="114"/>
      <c r="BT29" s="114"/>
      <c r="BU29" s="114"/>
      <c r="BV29" s="115"/>
      <c r="BW29" s="115"/>
      <c r="BX29" s="123"/>
    </row>
    <row r="30" spans="1:76" x14ac:dyDescent="0.3">
      <c r="A30" s="45"/>
      <c r="B30" s="41"/>
      <c r="C30" s="41"/>
      <c r="D30" s="42"/>
      <c r="E30" s="46"/>
      <c r="F30" s="39"/>
      <c r="G30" s="39"/>
      <c r="H30" s="41"/>
      <c r="I30" s="41"/>
      <c r="J30" s="41"/>
      <c r="K30" s="40"/>
      <c r="L30" s="41"/>
      <c r="M30" s="41"/>
      <c r="N30" s="42"/>
      <c r="O30" s="42"/>
      <c r="P30" s="44"/>
      <c r="Q30" s="39"/>
      <c r="R30" s="39"/>
      <c r="S30" s="40"/>
      <c r="T30" s="41"/>
      <c r="U30" s="41"/>
      <c r="V30" s="40"/>
      <c r="W30" s="41"/>
      <c r="X30" s="42"/>
      <c r="Y30" s="41"/>
      <c r="Z30" s="44"/>
      <c r="AA30" s="46"/>
      <c r="AB30" s="39"/>
      <c r="AC30" s="40"/>
      <c r="AD30" s="41"/>
      <c r="AE30" s="41"/>
      <c r="AF30" s="40"/>
      <c r="AG30" s="41"/>
      <c r="AH30" s="42"/>
      <c r="AI30" s="42"/>
      <c r="AJ30" s="42"/>
      <c r="AK30" s="46"/>
      <c r="AL30" s="39"/>
      <c r="AM30" s="40"/>
      <c r="AN30" s="41"/>
      <c r="AO30" s="41"/>
      <c r="AP30" s="40"/>
      <c r="AQ30" s="41"/>
      <c r="AR30" s="42"/>
      <c r="AS30" s="42"/>
      <c r="AT30" s="44"/>
      <c r="AU30" s="39"/>
      <c r="AV30" s="39"/>
      <c r="AW30" s="40"/>
      <c r="AX30" s="41"/>
      <c r="AY30" s="41"/>
      <c r="AZ30" s="40"/>
      <c r="BA30" s="41"/>
      <c r="BB30" s="42"/>
      <c r="BC30" s="42"/>
      <c r="BD30" s="42"/>
      <c r="BE30" s="43"/>
      <c r="BF30" s="45"/>
      <c r="BG30" s="41"/>
      <c r="BH30" s="41"/>
      <c r="BI30" s="41"/>
      <c r="BJ30" s="41"/>
      <c r="BK30" s="41"/>
      <c r="BL30" s="42"/>
      <c r="BM30" s="42"/>
      <c r="BN30" s="44"/>
      <c r="BO30" s="43"/>
      <c r="BP30" s="45"/>
      <c r="BQ30" s="41"/>
      <c r="BR30" s="41"/>
      <c r="BS30" s="41"/>
      <c r="BT30" s="41"/>
      <c r="BU30" s="41"/>
      <c r="BV30" s="42"/>
      <c r="BW30" s="42"/>
      <c r="BX30" s="44"/>
    </row>
    <row r="31" spans="1:76" x14ac:dyDescent="0.3">
      <c r="A31" s="65"/>
      <c r="B31" s="66"/>
      <c r="C31" s="66"/>
      <c r="D31" s="67"/>
      <c r="E31" s="75"/>
      <c r="F31" s="76"/>
      <c r="G31" s="76"/>
      <c r="H31" s="77"/>
      <c r="I31" s="77"/>
      <c r="J31" s="77"/>
      <c r="K31" s="78"/>
      <c r="L31" s="77"/>
      <c r="M31" s="77"/>
      <c r="N31" s="79"/>
      <c r="O31" s="79"/>
      <c r="P31" s="80"/>
      <c r="Q31" s="93"/>
      <c r="R31" s="93"/>
      <c r="S31" s="94"/>
      <c r="T31" s="95"/>
      <c r="U31" s="95"/>
      <c r="V31" s="94"/>
      <c r="W31" s="95"/>
      <c r="X31" s="96"/>
      <c r="Y31" s="95"/>
      <c r="Z31" s="98"/>
      <c r="AA31" s="111"/>
      <c r="AB31" s="112"/>
      <c r="AC31" s="113"/>
      <c r="AD31" s="114"/>
      <c r="AE31" s="114"/>
      <c r="AF31" s="113"/>
      <c r="AG31" s="114"/>
      <c r="AH31" s="115"/>
      <c r="AI31" s="115"/>
      <c r="AJ31" s="115"/>
      <c r="AK31" s="97"/>
      <c r="AL31" s="93"/>
      <c r="AM31" s="94"/>
      <c r="AN31" s="95"/>
      <c r="AO31" s="95"/>
      <c r="AP31" s="94"/>
      <c r="AQ31" s="95"/>
      <c r="AR31" s="96"/>
      <c r="AS31" s="96"/>
      <c r="AT31" s="98"/>
      <c r="AU31" s="112"/>
      <c r="AV31" s="112"/>
      <c r="AW31" s="113"/>
      <c r="AX31" s="114"/>
      <c r="AY31" s="114"/>
      <c r="AZ31" s="113"/>
      <c r="BA31" s="114"/>
      <c r="BB31" s="115"/>
      <c r="BC31" s="115"/>
      <c r="BD31" s="115"/>
      <c r="BE31" s="99"/>
      <c r="BF31" s="100"/>
      <c r="BG31" s="95"/>
      <c r="BH31" s="95"/>
      <c r="BI31" s="95"/>
      <c r="BJ31" s="95"/>
      <c r="BK31" s="95"/>
      <c r="BL31" s="96"/>
      <c r="BM31" s="96"/>
      <c r="BN31" s="98"/>
      <c r="BO31" s="121"/>
      <c r="BP31" s="122"/>
      <c r="BQ31" s="114"/>
      <c r="BR31" s="114"/>
      <c r="BS31" s="114"/>
      <c r="BT31" s="114"/>
      <c r="BU31" s="114"/>
      <c r="BV31" s="115"/>
      <c r="BW31" s="115"/>
      <c r="BX31" s="123"/>
    </row>
    <row r="32" spans="1:76" x14ac:dyDescent="0.3">
      <c r="A32" s="45"/>
      <c r="B32" s="41"/>
      <c r="C32" s="41"/>
      <c r="D32" s="42"/>
      <c r="E32" s="46"/>
      <c r="F32" s="39"/>
      <c r="G32" s="39"/>
      <c r="H32" s="41"/>
      <c r="I32" s="41"/>
      <c r="J32" s="41"/>
      <c r="K32" s="40"/>
      <c r="L32" s="41"/>
      <c r="M32" s="41"/>
      <c r="N32" s="42"/>
      <c r="O32" s="42"/>
      <c r="P32" s="44"/>
      <c r="Q32" s="39"/>
      <c r="R32" s="39"/>
      <c r="S32" s="40"/>
      <c r="T32" s="41"/>
      <c r="U32" s="41"/>
      <c r="V32" s="40"/>
      <c r="W32" s="41"/>
      <c r="X32" s="42"/>
      <c r="Y32" s="41"/>
      <c r="Z32" s="44"/>
      <c r="AA32" s="46"/>
      <c r="AB32" s="39"/>
      <c r="AC32" s="40"/>
      <c r="AD32" s="41"/>
      <c r="AE32" s="41"/>
      <c r="AF32" s="40"/>
      <c r="AG32" s="41"/>
      <c r="AH32" s="42"/>
      <c r="AI32" s="42"/>
      <c r="AJ32" s="42"/>
      <c r="AK32" s="46"/>
      <c r="AL32" s="39"/>
      <c r="AM32" s="40"/>
      <c r="AN32" s="41"/>
      <c r="AO32" s="41"/>
      <c r="AP32" s="40"/>
      <c r="AQ32" s="41"/>
      <c r="AR32" s="42"/>
      <c r="AS32" s="42"/>
      <c r="AT32" s="44"/>
      <c r="AU32" s="39"/>
      <c r="AV32" s="39"/>
      <c r="AW32" s="40"/>
      <c r="AX32" s="41"/>
      <c r="AY32" s="41"/>
      <c r="AZ32" s="40"/>
      <c r="BA32" s="41"/>
      <c r="BB32" s="42"/>
      <c r="BC32" s="42"/>
      <c r="BD32" s="42"/>
      <c r="BE32" s="43"/>
      <c r="BF32" s="45"/>
      <c r="BG32" s="41"/>
      <c r="BH32" s="41"/>
      <c r="BI32" s="41"/>
      <c r="BJ32" s="41"/>
      <c r="BK32" s="41"/>
      <c r="BL32" s="42"/>
      <c r="BM32" s="42"/>
      <c r="BN32" s="44"/>
      <c r="BO32" s="43"/>
      <c r="BP32" s="45"/>
      <c r="BQ32" s="41"/>
      <c r="BR32" s="41"/>
      <c r="BS32" s="41"/>
      <c r="BT32" s="41"/>
      <c r="BU32" s="41"/>
      <c r="BV32" s="42"/>
      <c r="BW32" s="42"/>
      <c r="BX32" s="44"/>
    </row>
    <row r="33" spans="1:76" x14ac:dyDescent="0.3">
      <c r="A33" s="65"/>
      <c r="B33" s="66"/>
      <c r="C33" s="66"/>
      <c r="D33" s="67"/>
      <c r="E33" s="75"/>
      <c r="F33" s="76"/>
      <c r="G33" s="76"/>
      <c r="H33" s="77"/>
      <c r="I33" s="77"/>
      <c r="J33" s="77"/>
      <c r="K33" s="78"/>
      <c r="L33" s="77"/>
      <c r="M33" s="77"/>
      <c r="N33" s="79"/>
      <c r="O33" s="79"/>
      <c r="P33" s="80"/>
      <c r="Q33" s="93"/>
      <c r="R33" s="93"/>
      <c r="S33" s="94"/>
      <c r="T33" s="95"/>
      <c r="U33" s="95"/>
      <c r="V33" s="94"/>
      <c r="W33" s="95"/>
      <c r="X33" s="96"/>
      <c r="Y33" s="95"/>
      <c r="Z33" s="98"/>
      <c r="AA33" s="111"/>
      <c r="AB33" s="112"/>
      <c r="AC33" s="113"/>
      <c r="AD33" s="114"/>
      <c r="AE33" s="114"/>
      <c r="AF33" s="113"/>
      <c r="AG33" s="114"/>
      <c r="AH33" s="115"/>
      <c r="AI33" s="115"/>
      <c r="AJ33" s="115"/>
      <c r="AK33" s="97"/>
      <c r="AL33" s="93"/>
      <c r="AM33" s="94"/>
      <c r="AN33" s="95"/>
      <c r="AO33" s="95"/>
      <c r="AP33" s="94"/>
      <c r="AQ33" s="95"/>
      <c r="AR33" s="96"/>
      <c r="AS33" s="96"/>
      <c r="AT33" s="98"/>
      <c r="AU33" s="112"/>
      <c r="AV33" s="112"/>
      <c r="AW33" s="113"/>
      <c r="AX33" s="114"/>
      <c r="AY33" s="114"/>
      <c r="AZ33" s="113"/>
      <c r="BA33" s="114"/>
      <c r="BB33" s="115"/>
      <c r="BC33" s="115"/>
      <c r="BD33" s="115"/>
      <c r="BE33" s="99"/>
      <c r="BF33" s="100"/>
      <c r="BG33" s="95"/>
      <c r="BH33" s="95"/>
      <c r="BI33" s="95"/>
      <c r="BJ33" s="95"/>
      <c r="BK33" s="95"/>
      <c r="BL33" s="96"/>
      <c r="BM33" s="96"/>
      <c r="BN33" s="98"/>
      <c r="BO33" s="121"/>
      <c r="BP33" s="122"/>
      <c r="BQ33" s="114"/>
      <c r="BR33" s="114"/>
      <c r="BS33" s="114"/>
      <c r="BT33" s="114"/>
      <c r="BU33" s="114"/>
      <c r="BV33" s="115"/>
      <c r="BW33" s="115"/>
      <c r="BX33" s="123"/>
    </row>
    <row r="34" spans="1:76" x14ac:dyDescent="0.3">
      <c r="A34" s="45"/>
      <c r="B34" s="41"/>
      <c r="C34" s="41"/>
      <c r="D34" s="42"/>
      <c r="E34" s="46"/>
      <c r="F34" s="39"/>
      <c r="G34" s="39"/>
      <c r="H34" s="41"/>
      <c r="I34" s="41"/>
      <c r="J34" s="41"/>
      <c r="K34" s="40"/>
      <c r="L34" s="41"/>
      <c r="M34" s="41"/>
      <c r="N34" s="42"/>
      <c r="O34" s="42"/>
      <c r="P34" s="44"/>
      <c r="Q34" s="39"/>
      <c r="R34" s="39"/>
      <c r="S34" s="40"/>
      <c r="T34" s="41"/>
      <c r="U34" s="41"/>
      <c r="V34" s="40"/>
      <c r="W34" s="41"/>
      <c r="X34" s="42"/>
      <c r="Y34" s="41"/>
      <c r="Z34" s="44"/>
      <c r="AA34" s="46"/>
      <c r="AB34" s="39"/>
      <c r="AC34" s="40"/>
      <c r="AD34" s="41"/>
      <c r="AE34" s="41"/>
      <c r="AF34" s="40"/>
      <c r="AG34" s="41"/>
      <c r="AH34" s="42"/>
      <c r="AI34" s="42"/>
      <c r="AJ34" s="42"/>
      <c r="AK34" s="46"/>
      <c r="AL34" s="39"/>
      <c r="AM34" s="40"/>
      <c r="AN34" s="41"/>
      <c r="AO34" s="41"/>
      <c r="AP34" s="40"/>
      <c r="AQ34" s="41"/>
      <c r="AR34" s="42"/>
      <c r="AS34" s="42"/>
      <c r="AT34" s="44"/>
      <c r="AU34" s="39"/>
      <c r="AV34" s="39"/>
      <c r="AW34" s="40"/>
      <c r="AX34" s="41"/>
      <c r="AY34" s="41"/>
      <c r="AZ34" s="40"/>
      <c r="BA34" s="41"/>
      <c r="BB34" s="42"/>
      <c r="BC34" s="42"/>
      <c r="BD34" s="42"/>
      <c r="BE34" s="43"/>
      <c r="BF34" s="45"/>
      <c r="BG34" s="41"/>
      <c r="BH34" s="41"/>
      <c r="BI34" s="41"/>
      <c r="BJ34" s="41"/>
      <c r="BK34" s="41"/>
      <c r="BL34" s="42"/>
      <c r="BM34" s="42"/>
      <c r="BN34" s="44"/>
      <c r="BO34" s="43"/>
      <c r="BP34" s="45"/>
      <c r="BQ34" s="41"/>
      <c r="BR34" s="41"/>
      <c r="BS34" s="41"/>
      <c r="BT34" s="41"/>
      <c r="BU34" s="41"/>
      <c r="BV34" s="42"/>
      <c r="BW34" s="42"/>
      <c r="BX34" s="44"/>
    </row>
    <row r="35" spans="1:76" x14ac:dyDescent="0.3">
      <c r="A35" s="65"/>
      <c r="B35" s="66"/>
      <c r="C35" s="66"/>
      <c r="D35" s="67"/>
      <c r="E35" s="75"/>
      <c r="F35" s="76"/>
      <c r="G35" s="76"/>
      <c r="H35" s="77"/>
      <c r="I35" s="77"/>
      <c r="J35" s="77"/>
      <c r="K35" s="78"/>
      <c r="L35" s="77"/>
      <c r="M35" s="77"/>
      <c r="N35" s="79"/>
      <c r="O35" s="79"/>
      <c r="P35" s="80"/>
      <c r="Q35" s="93"/>
      <c r="R35" s="93"/>
      <c r="S35" s="94"/>
      <c r="T35" s="95"/>
      <c r="U35" s="95"/>
      <c r="V35" s="94"/>
      <c r="W35" s="95"/>
      <c r="X35" s="96"/>
      <c r="Y35" s="95"/>
      <c r="Z35" s="98"/>
      <c r="AA35" s="111"/>
      <c r="AB35" s="112"/>
      <c r="AC35" s="113"/>
      <c r="AD35" s="114"/>
      <c r="AE35" s="114"/>
      <c r="AF35" s="113"/>
      <c r="AG35" s="114"/>
      <c r="AH35" s="115"/>
      <c r="AI35" s="115"/>
      <c r="AJ35" s="115"/>
      <c r="AK35" s="97"/>
      <c r="AL35" s="93"/>
      <c r="AM35" s="94"/>
      <c r="AN35" s="95"/>
      <c r="AO35" s="95"/>
      <c r="AP35" s="94"/>
      <c r="AQ35" s="95"/>
      <c r="AR35" s="96"/>
      <c r="AS35" s="96"/>
      <c r="AT35" s="98"/>
      <c r="AU35" s="112"/>
      <c r="AV35" s="112"/>
      <c r="AW35" s="113"/>
      <c r="AX35" s="114"/>
      <c r="AY35" s="114"/>
      <c r="AZ35" s="113"/>
      <c r="BA35" s="114"/>
      <c r="BB35" s="115"/>
      <c r="BC35" s="115"/>
      <c r="BD35" s="115"/>
      <c r="BE35" s="99"/>
      <c r="BF35" s="100"/>
      <c r="BG35" s="95"/>
      <c r="BH35" s="95"/>
      <c r="BI35" s="95"/>
      <c r="BJ35" s="95"/>
      <c r="BK35" s="95"/>
      <c r="BL35" s="96"/>
      <c r="BM35" s="96"/>
      <c r="BN35" s="98"/>
      <c r="BO35" s="121"/>
      <c r="BP35" s="122"/>
      <c r="BQ35" s="114"/>
      <c r="BR35" s="114"/>
      <c r="BS35" s="114"/>
      <c r="BT35" s="114"/>
      <c r="BU35" s="114"/>
      <c r="BV35" s="115"/>
      <c r="BW35" s="115"/>
      <c r="BX35" s="123"/>
    </row>
    <row r="36" spans="1:76" x14ac:dyDescent="0.3">
      <c r="A36" s="45"/>
      <c r="B36" s="41"/>
      <c r="C36" s="41"/>
      <c r="D36" s="42"/>
      <c r="E36" s="46"/>
      <c r="F36" s="39"/>
      <c r="G36" s="39"/>
      <c r="H36" s="41"/>
      <c r="I36" s="41"/>
      <c r="J36" s="41"/>
      <c r="K36" s="40"/>
      <c r="L36" s="41"/>
      <c r="M36" s="41"/>
      <c r="N36" s="42"/>
      <c r="O36" s="42"/>
      <c r="P36" s="44"/>
      <c r="Q36" s="39"/>
      <c r="R36" s="39"/>
      <c r="S36" s="40"/>
      <c r="T36" s="41"/>
      <c r="U36" s="41"/>
      <c r="V36" s="40"/>
      <c r="W36" s="41"/>
      <c r="X36" s="42"/>
      <c r="Y36" s="41"/>
      <c r="Z36" s="44"/>
      <c r="AA36" s="46"/>
      <c r="AB36" s="39"/>
      <c r="AC36" s="40"/>
      <c r="AD36" s="41"/>
      <c r="AE36" s="41"/>
      <c r="AF36" s="40"/>
      <c r="AG36" s="41"/>
      <c r="AH36" s="42"/>
      <c r="AI36" s="42"/>
      <c r="AJ36" s="42"/>
      <c r="AK36" s="46"/>
      <c r="AL36" s="39"/>
      <c r="AM36" s="40"/>
      <c r="AN36" s="41"/>
      <c r="AO36" s="41"/>
      <c r="AP36" s="40"/>
      <c r="AQ36" s="41"/>
      <c r="AR36" s="42"/>
      <c r="AS36" s="42"/>
      <c r="AT36" s="44"/>
      <c r="AU36" s="39"/>
      <c r="AV36" s="39"/>
      <c r="AW36" s="40"/>
      <c r="AX36" s="41"/>
      <c r="AY36" s="41"/>
      <c r="AZ36" s="40"/>
      <c r="BA36" s="41"/>
      <c r="BB36" s="42"/>
      <c r="BC36" s="42"/>
      <c r="BD36" s="42"/>
      <c r="BE36" s="43"/>
      <c r="BF36" s="45"/>
      <c r="BG36" s="41"/>
      <c r="BH36" s="41"/>
      <c r="BI36" s="41"/>
      <c r="BJ36" s="41"/>
      <c r="BK36" s="41"/>
      <c r="BL36" s="42"/>
      <c r="BM36" s="42"/>
      <c r="BN36" s="44"/>
      <c r="BO36" s="43"/>
      <c r="BP36" s="45"/>
      <c r="BQ36" s="41"/>
      <c r="BR36" s="41"/>
      <c r="BS36" s="41"/>
      <c r="BT36" s="41"/>
      <c r="BU36" s="41"/>
      <c r="BV36" s="42"/>
      <c r="BW36" s="42"/>
      <c r="BX36" s="44"/>
    </row>
    <row r="37" spans="1:76" x14ac:dyDescent="0.3">
      <c r="A37" s="65"/>
      <c r="B37" s="66"/>
      <c r="C37" s="66"/>
      <c r="D37" s="67"/>
      <c r="E37" s="75"/>
      <c r="F37" s="76"/>
      <c r="G37" s="76"/>
      <c r="H37" s="77"/>
      <c r="I37" s="77"/>
      <c r="J37" s="77"/>
      <c r="K37" s="78"/>
      <c r="L37" s="77"/>
      <c r="M37" s="77"/>
      <c r="N37" s="79"/>
      <c r="O37" s="79"/>
      <c r="P37" s="80"/>
      <c r="Q37" s="93"/>
      <c r="R37" s="93"/>
      <c r="S37" s="94"/>
      <c r="T37" s="95"/>
      <c r="U37" s="95"/>
      <c r="V37" s="94"/>
      <c r="W37" s="95"/>
      <c r="X37" s="96"/>
      <c r="Y37" s="95"/>
      <c r="Z37" s="98"/>
      <c r="AA37" s="111"/>
      <c r="AB37" s="112"/>
      <c r="AC37" s="113"/>
      <c r="AD37" s="114"/>
      <c r="AE37" s="114"/>
      <c r="AF37" s="113"/>
      <c r="AG37" s="114"/>
      <c r="AH37" s="115"/>
      <c r="AI37" s="115"/>
      <c r="AJ37" s="115"/>
      <c r="AK37" s="97"/>
      <c r="AL37" s="93"/>
      <c r="AM37" s="94"/>
      <c r="AN37" s="95"/>
      <c r="AO37" s="95"/>
      <c r="AP37" s="94"/>
      <c r="AQ37" s="95"/>
      <c r="AR37" s="96"/>
      <c r="AS37" s="96"/>
      <c r="AT37" s="98"/>
      <c r="AU37" s="112"/>
      <c r="AV37" s="112"/>
      <c r="AW37" s="113"/>
      <c r="AX37" s="114"/>
      <c r="AY37" s="114"/>
      <c r="AZ37" s="113"/>
      <c r="BA37" s="114"/>
      <c r="BB37" s="115"/>
      <c r="BC37" s="115"/>
      <c r="BD37" s="115"/>
      <c r="BE37" s="99"/>
      <c r="BF37" s="100"/>
      <c r="BG37" s="95"/>
      <c r="BH37" s="95"/>
      <c r="BI37" s="95"/>
      <c r="BJ37" s="95"/>
      <c r="BK37" s="95"/>
      <c r="BL37" s="96"/>
      <c r="BM37" s="96"/>
      <c r="BN37" s="98"/>
      <c r="BO37" s="121"/>
      <c r="BP37" s="122"/>
      <c r="BQ37" s="114"/>
      <c r="BR37" s="114"/>
      <c r="BS37" s="114"/>
      <c r="BT37" s="114"/>
      <c r="BU37" s="114"/>
      <c r="BV37" s="115"/>
      <c r="BW37" s="115"/>
      <c r="BX37" s="123"/>
    </row>
    <row r="38" spans="1:76" x14ac:dyDescent="0.3">
      <c r="A38" s="45"/>
      <c r="B38" s="41"/>
      <c r="C38" s="41"/>
      <c r="D38" s="42"/>
      <c r="E38" s="46"/>
      <c r="F38" s="39"/>
      <c r="G38" s="39"/>
      <c r="H38" s="41"/>
      <c r="I38" s="41"/>
      <c r="J38" s="41"/>
      <c r="K38" s="40"/>
      <c r="L38" s="41"/>
      <c r="M38" s="41"/>
      <c r="N38" s="42"/>
      <c r="O38" s="42"/>
      <c r="P38" s="44"/>
      <c r="Q38" s="39"/>
      <c r="R38" s="39"/>
      <c r="S38" s="40"/>
      <c r="T38" s="41"/>
      <c r="U38" s="41"/>
      <c r="V38" s="40"/>
      <c r="W38" s="41"/>
      <c r="X38" s="42"/>
      <c r="Y38" s="41"/>
      <c r="Z38" s="44"/>
      <c r="AA38" s="46"/>
      <c r="AB38" s="39"/>
      <c r="AC38" s="40"/>
      <c r="AD38" s="41"/>
      <c r="AE38" s="41"/>
      <c r="AF38" s="40"/>
      <c r="AG38" s="41"/>
      <c r="AH38" s="42"/>
      <c r="AI38" s="42"/>
      <c r="AJ38" s="42"/>
      <c r="AK38" s="46"/>
      <c r="AL38" s="39"/>
      <c r="AM38" s="40"/>
      <c r="AN38" s="41"/>
      <c r="AO38" s="41"/>
      <c r="AP38" s="40"/>
      <c r="AQ38" s="41"/>
      <c r="AR38" s="42"/>
      <c r="AS38" s="42"/>
      <c r="AT38" s="44"/>
      <c r="AU38" s="39"/>
      <c r="AV38" s="39"/>
      <c r="AW38" s="40"/>
      <c r="AX38" s="41"/>
      <c r="AY38" s="41"/>
      <c r="AZ38" s="40"/>
      <c r="BA38" s="41"/>
      <c r="BB38" s="42"/>
      <c r="BC38" s="42"/>
      <c r="BD38" s="42"/>
      <c r="BE38" s="43"/>
      <c r="BF38" s="45"/>
      <c r="BG38" s="41"/>
      <c r="BH38" s="41"/>
      <c r="BI38" s="41"/>
      <c r="BJ38" s="41"/>
      <c r="BK38" s="41"/>
      <c r="BL38" s="42"/>
      <c r="BM38" s="42"/>
      <c r="BN38" s="44"/>
      <c r="BO38" s="43"/>
      <c r="BP38" s="45"/>
      <c r="BQ38" s="41"/>
      <c r="BR38" s="41"/>
      <c r="BS38" s="41"/>
      <c r="BT38" s="41"/>
      <c r="BU38" s="41"/>
      <c r="BV38" s="42"/>
      <c r="BW38" s="42"/>
      <c r="BX38" s="44"/>
    </row>
    <row r="39" spans="1:76" x14ac:dyDescent="0.3">
      <c r="A39" s="65"/>
      <c r="B39" s="66"/>
      <c r="C39" s="66"/>
      <c r="D39" s="67"/>
      <c r="E39" s="75"/>
      <c r="F39" s="76"/>
      <c r="G39" s="76"/>
      <c r="H39" s="77"/>
      <c r="I39" s="77"/>
      <c r="J39" s="77"/>
      <c r="K39" s="78"/>
      <c r="L39" s="77"/>
      <c r="M39" s="77"/>
      <c r="N39" s="79"/>
      <c r="O39" s="79"/>
      <c r="P39" s="80"/>
      <c r="Q39" s="93"/>
      <c r="R39" s="93"/>
      <c r="S39" s="94"/>
      <c r="T39" s="95"/>
      <c r="U39" s="95"/>
      <c r="V39" s="94"/>
      <c r="W39" s="95"/>
      <c r="X39" s="96"/>
      <c r="Y39" s="95"/>
      <c r="Z39" s="98"/>
      <c r="AA39" s="111"/>
      <c r="AB39" s="112"/>
      <c r="AC39" s="113"/>
      <c r="AD39" s="114"/>
      <c r="AE39" s="114"/>
      <c r="AF39" s="113"/>
      <c r="AG39" s="114"/>
      <c r="AH39" s="115"/>
      <c r="AI39" s="115"/>
      <c r="AJ39" s="115"/>
      <c r="AK39" s="97"/>
      <c r="AL39" s="93"/>
      <c r="AM39" s="94"/>
      <c r="AN39" s="95"/>
      <c r="AO39" s="95"/>
      <c r="AP39" s="94"/>
      <c r="AQ39" s="95"/>
      <c r="AR39" s="96"/>
      <c r="AS39" s="96"/>
      <c r="AT39" s="98"/>
      <c r="AU39" s="112"/>
      <c r="AV39" s="112"/>
      <c r="AW39" s="113"/>
      <c r="AX39" s="114"/>
      <c r="AY39" s="114"/>
      <c r="AZ39" s="113"/>
      <c r="BA39" s="114"/>
      <c r="BB39" s="115"/>
      <c r="BC39" s="115"/>
      <c r="BD39" s="115"/>
      <c r="BE39" s="99"/>
      <c r="BF39" s="100"/>
      <c r="BG39" s="95"/>
      <c r="BH39" s="95"/>
      <c r="BI39" s="95"/>
      <c r="BJ39" s="95"/>
      <c r="BK39" s="95"/>
      <c r="BL39" s="96"/>
      <c r="BM39" s="96"/>
      <c r="BN39" s="98"/>
      <c r="BO39" s="121"/>
      <c r="BP39" s="122"/>
      <c r="BQ39" s="114"/>
      <c r="BR39" s="114"/>
      <c r="BS39" s="114"/>
      <c r="BT39" s="114"/>
      <c r="BU39" s="114"/>
      <c r="BV39" s="115"/>
      <c r="BW39" s="115"/>
      <c r="BX39" s="123"/>
    </row>
    <row r="40" spans="1:76" x14ac:dyDescent="0.3">
      <c r="A40" s="45"/>
      <c r="B40" s="41"/>
      <c r="C40" s="41"/>
      <c r="D40" s="42"/>
      <c r="E40" s="46"/>
      <c r="F40" s="39"/>
      <c r="G40" s="39"/>
      <c r="H40" s="41"/>
      <c r="I40" s="41"/>
      <c r="J40" s="41"/>
      <c r="K40" s="40"/>
      <c r="L40" s="41"/>
      <c r="M40" s="41"/>
      <c r="N40" s="42"/>
      <c r="O40" s="42"/>
      <c r="P40" s="47"/>
      <c r="Q40" s="39"/>
      <c r="R40" s="39"/>
      <c r="S40" s="40"/>
      <c r="T40" s="41"/>
      <c r="U40" s="41"/>
      <c r="V40" s="40"/>
      <c r="W40" s="41"/>
      <c r="X40" s="42"/>
      <c r="Y40" s="41"/>
      <c r="Z40" s="44"/>
      <c r="AA40" s="46"/>
      <c r="AB40" s="39"/>
      <c r="AC40" s="40"/>
      <c r="AD40" s="41"/>
      <c r="AE40" s="41"/>
      <c r="AF40" s="40"/>
      <c r="AG40" s="41"/>
      <c r="AH40" s="42"/>
      <c r="AI40" s="42"/>
      <c r="AJ40" s="42"/>
      <c r="AK40" s="46"/>
      <c r="AL40" s="39"/>
      <c r="AM40" s="40"/>
      <c r="AN40" s="41"/>
      <c r="AO40" s="41"/>
      <c r="AP40" s="40"/>
      <c r="AQ40" s="41"/>
      <c r="AR40" s="42"/>
      <c r="AS40" s="42"/>
      <c r="AT40" s="44"/>
      <c r="AU40" s="39"/>
      <c r="AV40" s="39"/>
      <c r="AW40" s="40"/>
      <c r="AX40" s="41"/>
      <c r="AY40" s="41"/>
      <c r="AZ40" s="40"/>
      <c r="BA40" s="41"/>
      <c r="BB40" s="42"/>
      <c r="BC40" s="42"/>
      <c r="BD40" s="42"/>
      <c r="BE40" s="43"/>
      <c r="BF40" s="45"/>
      <c r="BG40" s="41"/>
      <c r="BH40" s="41"/>
      <c r="BI40" s="41"/>
      <c r="BJ40" s="41"/>
      <c r="BK40" s="41"/>
      <c r="BL40" s="42"/>
      <c r="BM40" s="42"/>
      <c r="BN40" s="44"/>
      <c r="BO40" s="43"/>
      <c r="BP40" s="45"/>
      <c r="BQ40" s="41"/>
      <c r="BR40" s="41"/>
      <c r="BS40" s="41"/>
      <c r="BT40" s="41"/>
      <c r="BU40" s="41"/>
      <c r="BV40" s="42"/>
      <c r="BW40" s="42"/>
      <c r="BX40" s="44"/>
    </row>
    <row r="41" spans="1:76" x14ac:dyDescent="0.3">
      <c r="A41" s="65"/>
      <c r="B41" s="66"/>
      <c r="C41" s="66"/>
      <c r="D41" s="67"/>
      <c r="E41" s="75"/>
      <c r="F41" s="76"/>
      <c r="G41" s="76"/>
      <c r="H41" s="77"/>
      <c r="I41" s="77"/>
      <c r="J41" s="77"/>
      <c r="K41" s="78"/>
      <c r="L41" s="77"/>
      <c r="M41" s="77"/>
      <c r="N41" s="79"/>
      <c r="O41" s="79"/>
      <c r="P41" s="80"/>
      <c r="Q41" s="93"/>
      <c r="R41" s="93"/>
      <c r="S41" s="94"/>
      <c r="T41" s="95"/>
      <c r="U41" s="95"/>
      <c r="V41" s="94"/>
      <c r="W41" s="95"/>
      <c r="X41" s="96"/>
      <c r="Y41" s="95"/>
      <c r="Z41" s="98"/>
      <c r="AA41" s="111"/>
      <c r="AB41" s="112"/>
      <c r="AC41" s="113"/>
      <c r="AD41" s="114"/>
      <c r="AE41" s="114"/>
      <c r="AF41" s="113"/>
      <c r="AG41" s="114"/>
      <c r="AH41" s="115"/>
      <c r="AI41" s="115"/>
      <c r="AJ41" s="115"/>
      <c r="AK41" s="97"/>
      <c r="AL41" s="93"/>
      <c r="AM41" s="94"/>
      <c r="AN41" s="95"/>
      <c r="AO41" s="95"/>
      <c r="AP41" s="94"/>
      <c r="AQ41" s="95"/>
      <c r="AR41" s="96"/>
      <c r="AS41" s="96"/>
      <c r="AT41" s="98"/>
      <c r="AU41" s="112"/>
      <c r="AV41" s="112"/>
      <c r="AW41" s="113"/>
      <c r="AX41" s="114"/>
      <c r="AY41" s="114"/>
      <c r="AZ41" s="113"/>
      <c r="BA41" s="114"/>
      <c r="BB41" s="115"/>
      <c r="BC41" s="115"/>
      <c r="BD41" s="115"/>
      <c r="BE41" s="99"/>
      <c r="BF41" s="100"/>
      <c r="BG41" s="95"/>
      <c r="BH41" s="95"/>
      <c r="BI41" s="95"/>
      <c r="BJ41" s="95"/>
      <c r="BK41" s="95"/>
      <c r="BL41" s="96"/>
      <c r="BM41" s="96"/>
      <c r="BN41" s="98"/>
      <c r="BO41" s="121"/>
      <c r="BP41" s="122"/>
      <c r="BQ41" s="114"/>
      <c r="BR41" s="114"/>
      <c r="BS41" s="114"/>
      <c r="BT41" s="114"/>
      <c r="BU41" s="114"/>
      <c r="BV41" s="115"/>
      <c r="BW41" s="115"/>
      <c r="BX41" s="123"/>
    </row>
    <row r="42" spans="1:76" x14ac:dyDescent="0.3">
      <c r="A42" s="45"/>
      <c r="B42" s="41"/>
      <c r="C42" s="41"/>
      <c r="D42" s="42"/>
      <c r="E42" s="46"/>
      <c r="F42" s="39"/>
      <c r="G42" s="39"/>
      <c r="H42" s="41"/>
      <c r="I42" s="41"/>
      <c r="J42" s="41"/>
      <c r="K42" s="40"/>
      <c r="L42" s="41"/>
      <c r="M42" s="41"/>
      <c r="N42" s="42"/>
      <c r="O42" s="42"/>
      <c r="P42" s="44"/>
      <c r="Q42" s="39"/>
      <c r="R42" s="39"/>
      <c r="S42" s="40"/>
      <c r="T42" s="41"/>
      <c r="U42" s="41"/>
      <c r="V42" s="40"/>
      <c r="W42" s="41"/>
      <c r="X42" s="42"/>
      <c r="Y42" s="41"/>
      <c r="Z42" s="44"/>
      <c r="AA42" s="46"/>
      <c r="AB42" s="39"/>
      <c r="AC42" s="40"/>
      <c r="AD42" s="41"/>
      <c r="AE42" s="41"/>
      <c r="AF42" s="40"/>
      <c r="AG42" s="41"/>
      <c r="AH42" s="42"/>
      <c r="AI42" s="42"/>
      <c r="AJ42" s="42"/>
      <c r="AK42" s="46"/>
      <c r="AL42" s="39"/>
      <c r="AM42" s="40"/>
      <c r="AN42" s="41"/>
      <c r="AO42" s="41"/>
      <c r="AP42" s="40"/>
      <c r="AQ42" s="41"/>
      <c r="AR42" s="42"/>
      <c r="AS42" s="42"/>
      <c r="AT42" s="44"/>
      <c r="AU42" s="39"/>
      <c r="AV42" s="39"/>
      <c r="AW42" s="40"/>
      <c r="AX42" s="41"/>
      <c r="AY42" s="41"/>
      <c r="AZ42" s="40"/>
      <c r="BA42" s="41"/>
      <c r="BB42" s="42"/>
      <c r="BC42" s="42"/>
      <c r="BD42" s="42"/>
      <c r="BE42" s="43"/>
      <c r="BF42" s="45"/>
      <c r="BG42" s="41"/>
      <c r="BH42" s="41"/>
      <c r="BI42" s="41"/>
      <c r="BJ42" s="41"/>
      <c r="BK42" s="41"/>
      <c r="BL42" s="42"/>
      <c r="BM42" s="42"/>
      <c r="BN42" s="44"/>
      <c r="BO42" s="43"/>
      <c r="BP42" s="45"/>
      <c r="BQ42" s="41"/>
      <c r="BR42" s="41"/>
      <c r="BS42" s="41"/>
      <c r="BT42" s="41"/>
      <c r="BU42" s="41"/>
      <c r="BV42" s="42"/>
      <c r="BW42" s="42"/>
      <c r="BX42" s="44"/>
    </row>
    <row r="43" spans="1:76" x14ac:dyDescent="0.3">
      <c r="A43" s="65"/>
      <c r="B43" s="66"/>
      <c r="C43" s="66"/>
      <c r="D43" s="67"/>
      <c r="E43" s="75"/>
      <c r="F43" s="76"/>
      <c r="G43" s="76"/>
      <c r="H43" s="77"/>
      <c r="I43" s="77"/>
      <c r="J43" s="77"/>
      <c r="K43" s="78"/>
      <c r="L43" s="77"/>
      <c r="M43" s="77"/>
      <c r="N43" s="79"/>
      <c r="O43" s="79"/>
      <c r="P43" s="80"/>
      <c r="Q43" s="93"/>
      <c r="R43" s="93"/>
      <c r="S43" s="94"/>
      <c r="T43" s="95"/>
      <c r="U43" s="95"/>
      <c r="V43" s="94"/>
      <c r="W43" s="95"/>
      <c r="X43" s="96"/>
      <c r="Y43" s="95"/>
      <c r="Z43" s="98"/>
      <c r="AA43" s="111"/>
      <c r="AB43" s="112"/>
      <c r="AC43" s="113"/>
      <c r="AD43" s="114"/>
      <c r="AE43" s="114"/>
      <c r="AF43" s="113"/>
      <c r="AG43" s="114"/>
      <c r="AH43" s="115"/>
      <c r="AI43" s="115"/>
      <c r="AJ43" s="115"/>
      <c r="AK43" s="97"/>
      <c r="AL43" s="93"/>
      <c r="AM43" s="94"/>
      <c r="AN43" s="95"/>
      <c r="AO43" s="95"/>
      <c r="AP43" s="94"/>
      <c r="AQ43" s="95"/>
      <c r="AR43" s="96"/>
      <c r="AS43" s="96"/>
      <c r="AT43" s="98"/>
      <c r="AU43" s="112"/>
      <c r="AV43" s="112"/>
      <c r="AW43" s="113"/>
      <c r="AX43" s="114"/>
      <c r="AY43" s="114"/>
      <c r="AZ43" s="113"/>
      <c r="BA43" s="114"/>
      <c r="BB43" s="115"/>
      <c r="BC43" s="115"/>
      <c r="BD43" s="115"/>
      <c r="BE43" s="99"/>
      <c r="BF43" s="100"/>
      <c r="BG43" s="95"/>
      <c r="BH43" s="95"/>
      <c r="BI43" s="95"/>
      <c r="BJ43" s="95"/>
      <c r="BK43" s="95"/>
      <c r="BL43" s="96"/>
      <c r="BM43" s="96"/>
      <c r="BN43" s="98"/>
      <c r="BO43" s="121"/>
      <c r="BP43" s="122"/>
      <c r="BQ43" s="114"/>
      <c r="BR43" s="114"/>
      <c r="BS43" s="114"/>
      <c r="BT43" s="114"/>
      <c r="BU43" s="114"/>
      <c r="BV43" s="115"/>
      <c r="BW43" s="115"/>
      <c r="BX43" s="123"/>
    </row>
    <row r="44" spans="1:76" x14ac:dyDescent="0.3">
      <c r="A44" s="45"/>
      <c r="B44" s="41"/>
      <c r="C44" s="41"/>
      <c r="D44" s="42"/>
      <c r="E44" s="46"/>
      <c r="F44" s="39"/>
      <c r="G44" s="39"/>
      <c r="H44" s="41"/>
      <c r="I44" s="41"/>
      <c r="J44" s="41"/>
      <c r="K44" s="40"/>
      <c r="L44" s="41"/>
      <c r="M44" s="41"/>
      <c r="N44" s="42"/>
      <c r="O44" s="42"/>
      <c r="P44" s="44"/>
      <c r="Q44" s="39"/>
      <c r="R44" s="39"/>
      <c r="S44" s="40"/>
      <c r="T44" s="41"/>
      <c r="U44" s="41"/>
      <c r="V44" s="40"/>
      <c r="W44" s="41"/>
      <c r="X44" s="42"/>
      <c r="Y44" s="41"/>
      <c r="Z44" s="44"/>
      <c r="AA44" s="46"/>
      <c r="AB44" s="39"/>
      <c r="AC44" s="40"/>
      <c r="AD44" s="41"/>
      <c r="AE44" s="41"/>
      <c r="AF44" s="40"/>
      <c r="AG44" s="41"/>
      <c r="AH44" s="42"/>
      <c r="AI44" s="42"/>
      <c r="AJ44" s="42"/>
      <c r="AK44" s="46"/>
      <c r="AL44" s="39"/>
      <c r="AM44" s="40"/>
      <c r="AN44" s="41"/>
      <c r="AO44" s="41"/>
      <c r="AP44" s="40"/>
      <c r="AQ44" s="41"/>
      <c r="AR44" s="42"/>
      <c r="AS44" s="42"/>
      <c r="AT44" s="44"/>
      <c r="AU44" s="39"/>
      <c r="AV44" s="39"/>
      <c r="AW44" s="40"/>
      <c r="AX44" s="41"/>
      <c r="AY44" s="41"/>
      <c r="AZ44" s="40"/>
      <c r="BA44" s="41"/>
      <c r="BB44" s="42"/>
      <c r="BC44" s="42"/>
      <c r="BD44" s="42"/>
      <c r="BE44" s="43"/>
      <c r="BF44" s="45"/>
      <c r="BG44" s="41"/>
      <c r="BH44" s="41"/>
      <c r="BI44" s="41"/>
      <c r="BJ44" s="41"/>
      <c r="BK44" s="41"/>
      <c r="BL44" s="42"/>
      <c r="BM44" s="42"/>
      <c r="BN44" s="44"/>
      <c r="BO44" s="43"/>
      <c r="BP44" s="45"/>
      <c r="BQ44" s="41"/>
      <c r="BR44" s="41"/>
      <c r="BS44" s="41"/>
      <c r="BT44" s="41"/>
      <c r="BU44" s="41"/>
      <c r="BV44" s="42"/>
      <c r="BW44" s="42"/>
      <c r="BX44" s="44"/>
    </row>
    <row r="45" spans="1:76" x14ac:dyDescent="0.3">
      <c r="A45" s="65"/>
      <c r="B45" s="66"/>
      <c r="C45" s="66"/>
      <c r="D45" s="67"/>
      <c r="E45" s="75"/>
      <c r="F45" s="76"/>
      <c r="G45" s="76"/>
      <c r="H45" s="77"/>
      <c r="I45" s="77"/>
      <c r="J45" s="77"/>
      <c r="K45" s="78"/>
      <c r="L45" s="77"/>
      <c r="M45" s="77"/>
      <c r="N45" s="79"/>
      <c r="O45" s="79"/>
      <c r="P45" s="80"/>
      <c r="Q45" s="93"/>
      <c r="R45" s="93"/>
      <c r="S45" s="94"/>
      <c r="T45" s="95"/>
      <c r="U45" s="95"/>
      <c r="V45" s="94"/>
      <c r="W45" s="95"/>
      <c r="X45" s="96"/>
      <c r="Y45" s="95"/>
      <c r="Z45" s="98"/>
      <c r="AA45" s="111"/>
      <c r="AB45" s="112"/>
      <c r="AC45" s="113"/>
      <c r="AD45" s="114"/>
      <c r="AE45" s="114"/>
      <c r="AF45" s="113"/>
      <c r="AG45" s="114"/>
      <c r="AH45" s="115"/>
      <c r="AI45" s="115"/>
      <c r="AJ45" s="115"/>
      <c r="AK45" s="97"/>
      <c r="AL45" s="93"/>
      <c r="AM45" s="94"/>
      <c r="AN45" s="95"/>
      <c r="AO45" s="95"/>
      <c r="AP45" s="94"/>
      <c r="AQ45" s="95"/>
      <c r="AR45" s="96"/>
      <c r="AS45" s="96"/>
      <c r="AT45" s="98"/>
      <c r="AU45" s="112"/>
      <c r="AV45" s="112"/>
      <c r="AW45" s="113"/>
      <c r="AX45" s="114"/>
      <c r="AY45" s="114"/>
      <c r="AZ45" s="113"/>
      <c r="BA45" s="114"/>
      <c r="BB45" s="115"/>
      <c r="BC45" s="115"/>
      <c r="BD45" s="115"/>
      <c r="BE45" s="99"/>
      <c r="BF45" s="100"/>
      <c r="BG45" s="95"/>
      <c r="BH45" s="95"/>
      <c r="BI45" s="95"/>
      <c r="BJ45" s="95"/>
      <c r="BK45" s="95"/>
      <c r="BL45" s="96"/>
      <c r="BM45" s="96"/>
      <c r="BN45" s="98"/>
      <c r="BO45" s="121"/>
      <c r="BP45" s="122"/>
      <c r="BQ45" s="114"/>
      <c r="BR45" s="114"/>
      <c r="BS45" s="114"/>
      <c r="BT45" s="114"/>
      <c r="BU45" s="114"/>
      <c r="BV45" s="115"/>
      <c r="BW45" s="115"/>
      <c r="BX45" s="123"/>
    </row>
    <row r="46" spans="1:76" x14ac:dyDescent="0.3">
      <c r="A46" s="45"/>
      <c r="B46" s="41"/>
      <c r="C46" s="41"/>
      <c r="D46" s="42"/>
      <c r="E46" s="46"/>
      <c r="F46" s="39"/>
      <c r="G46" s="39"/>
      <c r="H46" s="41"/>
      <c r="I46" s="41"/>
      <c r="J46" s="41"/>
      <c r="K46" s="40"/>
      <c r="L46" s="41"/>
      <c r="M46" s="41"/>
      <c r="N46" s="42"/>
      <c r="O46" s="42"/>
      <c r="P46" s="44"/>
      <c r="Q46" s="39"/>
      <c r="R46" s="39"/>
      <c r="S46" s="40"/>
      <c r="T46" s="41"/>
      <c r="U46" s="41"/>
      <c r="V46" s="40"/>
      <c r="W46" s="41"/>
      <c r="X46" s="42"/>
      <c r="Y46" s="41"/>
      <c r="Z46" s="44"/>
      <c r="AA46" s="46"/>
      <c r="AB46" s="39"/>
      <c r="AC46" s="40"/>
      <c r="AD46" s="41"/>
      <c r="AE46" s="41"/>
      <c r="AF46" s="40"/>
      <c r="AG46" s="41"/>
      <c r="AH46" s="42"/>
      <c r="AI46" s="42"/>
      <c r="AJ46" s="42"/>
      <c r="AK46" s="46"/>
      <c r="AL46" s="39"/>
      <c r="AM46" s="40"/>
      <c r="AN46" s="41"/>
      <c r="AO46" s="41"/>
      <c r="AP46" s="40"/>
      <c r="AQ46" s="41"/>
      <c r="AR46" s="42"/>
      <c r="AS46" s="42"/>
      <c r="AT46" s="44"/>
      <c r="AU46" s="39"/>
      <c r="AV46" s="39"/>
      <c r="AW46" s="40"/>
      <c r="AX46" s="41"/>
      <c r="AY46" s="41"/>
      <c r="AZ46" s="40"/>
      <c r="BA46" s="41"/>
      <c r="BB46" s="42"/>
      <c r="BC46" s="42"/>
      <c r="BD46" s="42"/>
      <c r="BE46" s="43"/>
      <c r="BF46" s="45"/>
      <c r="BG46" s="41"/>
      <c r="BH46" s="41"/>
      <c r="BI46" s="41"/>
      <c r="BJ46" s="41"/>
      <c r="BK46" s="41"/>
      <c r="BL46" s="42"/>
      <c r="BM46" s="42"/>
      <c r="BN46" s="44"/>
      <c r="BO46" s="43"/>
      <c r="BP46" s="45"/>
      <c r="BQ46" s="41"/>
      <c r="BR46" s="41"/>
      <c r="BS46" s="41"/>
      <c r="BT46" s="41"/>
      <c r="BU46" s="41"/>
      <c r="BV46" s="42"/>
      <c r="BW46" s="42"/>
      <c r="BX46" s="44"/>
    </row>
    <row r="47" spans="1:76" x14ac:dyDescent="0.3">
      <c r="A47" s="65"/>
      <c r="B47" s="66"/>
      <c r="C47" s="66"/>
      <c r="D47" s="67"/>
      <c r="E47" s="75"/>
      <c r="F47" s="76"/>
      <c r="G47" s="76"/>
      <c r="H47" s="77"/>
      <c r="I47" s="77"/>
      <c r="J47" s="77"/>
      <c r="K47" s="78"/>
      <c r="L47" s="77"/>
      <c r="M47" s="77"/>
      <c r="N47" s="79"/>
      <c r="O47" s="79"/>
      <c r="P47" s="80"/>
      <c r="Q47" s="93"/>
      <c r="R47" s="93"/>
      <c r="S47" s="94"/>
      <c r="T47" s="95"/>
      <c r="U47" s="95"/>
      <c r="V47" s="94"/>
      <c r="W47" s="95"/>
      <c r="X47" s="96"/>
      <c r="Y47" s="95"/>
      <c r="Z47" s="98"/>
      <c r="AA47" s="111"/>
      <c r="AB47" s="112"/>
      <c r="AC47" s="113"/>
      <c r="AD47" s="114"/>
      <c r="AE47" s="114"/>
      <c r="AF47" s="113"/>
      <c r="AG47" s="114"/>
      <c r="AH47" s="115"/>
      <c r="AI47" s="115"/>
      <c r="AJ47" s="115"/>
      <c r="AK47" s="97"/>
      <c r="AL47" s="93"/>
      <c r="AM47" s="94"/>
      <c r="AN47" s="95"/>
      <c r="AO47" s="95"/>
      <c r="AP47" s="94"/>
      <c r="AQ47" s="95"/>
      <c r="AR47" s="96"/>
      <c r="AS47" s="96"/>
      <c r="AT47" s="98"/>
      <c r="AU47" s="112"/>
      <c r="AV47" s="112"/>
      <c r="AW47" s="113"/>
      <c r="AX47" s="114"/>
      <c r="AY47" s="114"/>
      <c r="AZ47" s="113"/>
      <c r="BA47" s="114"/>
      <c r="BB47" s="115"/>
      <c r="BC47" s="115"/>
      <c r="BD47" s="115"/>
      <c r="BE47" s="99"/>
      <c r="BF47" s="100"/>
      <c r="BG47" s="95"/>
      <c r="BH47" s="95"/>
      <c r="BI47" s="95"/>
      <c r="BJ47" s="95"/>
      <c r="BK47" s="95"/>
      <c r="BL47" s="96"/>
      <c r="BM47" s="96"/>
      <c r="BN47" s="98"/>
      <c r="BO47" s="121"/>
      <c r="BP47" s="122"/>
      <c r="BQ47" s="114"/>
      <c r="BR47" s="114"/>
      <c r="BS47" s="114"/>
      <c r="BT47" s="114"/>
      <c r="BU47" s="114"/>
      <c r="BV47" s="115"/>
      <c r="BW47" s="115"/>
      <c r="BX47" s="123"/>
    </row>
    <row r="48" spans="1:76" x14ac:dyDescent="0.3">
      <c r="A48" s="45"/>
      <c r="B48" s="41"/>
      <c r="C48" s="41"/>
      <c r="D48" s="42"/>
      <c r="E48" s="46"/>
      <c r="F48" s="39"/>
      <c r="G48" s="39"/>
      <c r="H48" s="41"/>
      <c r="I48" s="41"/>
      <c r="J48" s="41"/>
      <c r="K48" s="40"/>
      <c r="L48" s="41"/>
      <c r="M48" s="41"/>
      <c r="N48" s="42"/>
      <c r="O48" s="42"/>
      <c r="P48" s="44"/>
      <c r="Q48" s="39"/>
      <c r="R48" s="39"/>
      <c r="S48" s="40"/>
      <c r="T48" s="41"/>
      <c r="U48" s="41"/>
      <c r="V48" s="40"/>
      <c r="W48" s="41"/>
      <c r="X48" s="42"/>
      <c r="Y48" s="41"/>
      <c r="Z48" s="44"/>
      <c r="AA48" s="46"/>
      <c r="AB48" s="39"/>
      <c r="AC48" s="40"/>
      <c r="AD48" s="41"/>
      <c r="AE48" s="41"/>
      <c r="AF48" s="40"/>
      <c r="AG48" s="41"/>
      <c r="AH48" s="42"/>
      <c r="AI48" s="42"/>
      <c r="AJ48" s="42"/>
      <c r="AK48" s="46"/>
      <c r="AL48" s="39"/>
      <c r="AM48" s="40"/>
      <c r="AN48" s="41"/>
      <c r="AO48" s="41"/>
      <c r="AP48" s="40"/>
      <c r="AQ48" s="41"/>
      <c r="AR48" s="42"/>
      <c r="AS48" s="42"/>
      <c r="AT48" s="44"/>
      <c r="AU48" s="39"/>
      <c r="AV48" s="39"/>
      <c r="AW48" s="40"/>
      <c r="AX48" s="41"/>
      <c r="AY48" s="41"/>
      <c r="AZ48" s="40"/>
      <c r="BA48" s="41"/>
      <c r="BB48" s="42"/>
      <c r="BC48" s="42"/>
      <c r="BD48" s="42"/>
      <c r="BE48" s="43"/>
      <c r="BF48" s="45"/>
      <c r="BG48" s="41"/>
      <c r="BH48" s="41"/>
      <c r="BI48" s="41"/>
      <c r="BJ48" s="41"/>
      <c r="BK48" s="41"/>
      <c r="BL48" s="42"/>
      <c r="BM48" s="42"/>
      <c r="BN48" s="44"/>
      <c r="BO48" s="43"/>
      <c r="BP48" s="45"/>
      <c r="BQ48" s="41"/>
      <c r="BR48" s="41"/>
      <c r="BS48" s="41"/>
      <c r="BT48" s="41"/>
      <c r="BU48" s="41"/>
      <c r="BV48" s="42"/>
      <c r="BW48" s="42"/>
      <c r="BX48" s="44"/>
    </row>
    <row r="49" spans="1:76" x14ac:dyDescent="0.3">
      <c r="A49" s="65"/>
      <c r="B49" s="66"/>
      <c r="C49" s="66"/>
      <c r="D49" s="67"/>
      <c r="E49" s="75"/>
      <c r="F49" s="76"/>
      <c r="G49" s="76"/>
      <c r="H49" s="77"/>
      <c r="I49" s="77"/>
      <c r="J49" s="77"/>
      <c r="K49" s="78"/>
      <c r="L49" s="77"/>
      <c r="M49" s="77"/>
      <c r="N49" s="79"/>
      <c r="O49" s="79"/>
      <c r="P49" s="80"/>
      <c r="Q49" s="93"/>
      <c r="R49" s="93"/>
      <c r="S49" s="94"/>
      <c r="T49" s="95"/>
      <c r="U49" s="95"/>
      <c r="V49" s="94"/>
      <c r="W49" s="95"/>
      <c r="X49" s="96"/>
      <c r="Y49" s="95"/>
      <c r="Z49" s="98"/>
      <c r="AA49" s="111"/>
      <c r="AB49" s="112"/>
      <c r="AC49" s="113"/>
      <c r="AD49" s="114"/>
      <c r="AE49" s="114"/>
      <c r="AF49" s="113"/>
      <c r="AG49" s="114"/>
      <c r="AH49" s="115"/>
      <c r="AI49" s="115"/>
      <c r="AJ49" s="115"/>
      <c r="AK49" s="97"/>
      <c r="AL49" s="93"/>
      <c r="AM49" s="94"/>
      <c r="AN49" s="95"/>
      <c r="AO49" s="95"/>
      <c r="AP49" s="94"/>
      <c r="AQ49" s="95"/>
      <c r="AR49" s="96"/>
      <c r="AS49" s="96"/>
      <c r="AT49" s="98"/>
      <c r="AU49" s="112"/>
      <c r="AV49" s="112"/>
      <c r="AW49" s="113"/>
      <c r="AX49" s="114"/>
      <c r="AY49" s="114"/>
      <c r="AZ49" s="113"/>
      <c r="BA49" s="114"/>
      <c r="BB49" s="115"/>
      <c r="BC49" s="115"/>
      <c r="BD49" s="115"/>
      <c r="BE49" s="99"/>
      <c r="BF49" s="100"/>
      <c r="BG49" s="95"/>
      <c r="BH49" s="95"/>
      <c r="BI49" s="95"/>
      <c r="BJ49" s="95"/>
      <c r="BK49" s="95"/>
      <c r="BL49" s="96"/>
      <c r="BM49" s="96"/>
      <c r="BN49" s="98"/>
      <c r="BO49" s="121"/>
      <c r="BP49" s="122"/>
      <c r="BQ49" s="114"/>
      <c r="BR49" s="114"/>
      <c r="BS49" s="114"/>
      <c r="BT49" s="114"/>
      <c r="BU49" s="114"/>
      <c r="BV49" s="115"/>
      <c r="BW49" s="115"/>
      <c r="BX49" s="123"/>
    </row>
    <row r="50" spans="1:76" x14ac:dyDescent="0.3">
      <c r="A50" s="45"/>
      <c r="B50" s="41"/>
      <c r="C50" s="41"/>
      <c r="D50" s="42"/>
      <c r="E50" s="46"/>
      <c r="F50" s="39"/>
      <c r="G50" s="39"/>
      <c r="H50" s="41"/>
      <c r="I50" s="41"/>
      <c r="J50" s="41"/>
      <c r="K50" s="40"/>
      <c r="L50" s="41"/>
      <c r="M50" s="41"/>
      <c r="N50" s="42"/>
      <c r="O50" s="42"/>
      <c r="P50" s="44"/>
      <c r="Q50" s="39"/>
      <c r="R50" s="39"/>
      <c r="S50" s="40"/>
      <c r="T50" s="41"/>
      <c r="U50" s="41"/>
      <c r="V50" s="40"/>
      <c r="W50" s="41"/>
      <c r="X50" s="42"/>
      <c r="Y50" s="41"/>
      <c r="Z50" s="44"/>
      <c r="AA50" s="46"/>
      <c r="AB50" s="39"/>
      <c r="AC50" s="40"/>
      <c r="AD50" s="41"/>
      <c r="AE50" s="41"/>
      <c r="AF50" s="40"/>
      <c r="AG50" s="41"/>
      <c r="AH50" s="42"/>
      <c r="AI50" s="42"/>
      <c r="AJ50" s="42"/>
      <c r="AK50" s="46"/>
      <c r="AL50" s="39"/>
      <c r="AM50" s="40"/>
      <c r="AN50" s="41"/>
      <c r="AO50" s="41"/>
      <c r="AP50" s="40"/>
      <c r="AQ50" s="41"/>
      <c r="AR50" s="42"/>
      <c r="AS50" s="42"/>
      <c r="AT50" s="44"/>
      <c r="AU50" s="39"/>
      <c r="AV50" s="39"/>
      <c r="AW50" s="40"/>
      <c r="AX50" s="41"/>
      <c r="AY50" s="41"/>
      <c r="AZ50" s="40"/>
      <c r="BA50" s="41"/>
      <c r="BB50" s="42"/>
      <c r="BC50" s="42"/>
      <c r="BD50" s="42"/>
      <c r="BE50" s="43"/>
      <c r="BF50" s="45"/>
      <c r="BG50" s="41"/>
      <c r="BH50" s="41"/>
      <c r="BI50" s="41"/>
      <c r="BJ50" s="41"/>
      <c r="BK50" s="41"/>
      <c r="BL50" s="42"/>
      <c r="BM50" s="42"/>
      <c r="BN50" s="44"/>
      <c r="BO50" s="43"/>
      <c r="BP50" s="45"/>
      <c r="BQ50" s="41"/>
      <c r="BR50" s="41"/>
      <c r="BS50" s="41"/>
      <c r="BT50" s="41"/>
      <c r="BU50" s="41"/>
      <c r="BV50" s="42"/>
      <c r="BW50" s="42"/>
      <c r="BX50" s="44"/>
    </row>
    <row r="51" spans="1:76" x14ac:dyDescent="0.3">
      <c r="A51" s="68"/>
      <c r="B51" s="69"/>
      <c r="C51" s="69"/>
      <c r="D51" s="70"/>
      <c r="E51" s="81"/>
      <c r="F51" s="82"/>
      <c r="G51" s="82"/>
      <c r="H51" s="83"/>
      <c r="I51" s="83"/>
      <c r="J51" s="83"/>
      <c r="K51" s="84"/>
      <c r="L51" s="83"/>
      <c r="M51" s="83"/>
      <c r="N51" s="85"/>
      <c r="O51" s="85"/>
      <c r="P51" s="86"/>
      <c r="Q51" s="101"/>
      <c r="R51" s="101"/>
      <c r="S51" s="102"/>
      <c r="T51" s="103"/>
      <c r="U51" s="103"/>
      <c r="V51" s="102"/>
      <c r="W51" s="103"/>
      <c r="X51" s="104"/>
      <c r="Y51" s="103"/>
      <c r="Z51" s="106"/>
      <c r="AA51" s="116"/>
      <c r="AB51" s="117"/>
      <c r="AC51" s="118"/>
      <c r="AD51" s="119"/>
      <c r="AE51" s="119"/>
      <c r="AF51" s="118"/>
      <c r="AG51" s="119"/>
      <c r="AH51" s="120"/>
      <c r="AI51" s="120"/>
      <c r="AJ51" s="120"/>
      <c r="AK51" s="105"/>
      <c r="AL51" s="101"/>
      <c r="AM51" s="102"/>
      <c r="AN51" s="103"/>
      <c r="AO51" s="103"/>
      <c r="AP51" s="102"/>
      <c r="AQ51" s="103"/>
      <c r="AR51" s="104"/>
      <c r="AS51" s="104"/>
      <c r="AT51" s="106"/>
      <c r="AU51" s="117"/>
      <c r="AV51" s="117"/>
      <c r="AW51" s="118"/>
      <c r="AX51" s="119"/>
      <c r="AY51" s="119"/>
      <c r="AZ51" s="118"/>
      <c r="BA51" s="119"/>
      <c r="BB51" s="120"/>
      <c r="BC51" s="120"/>
      <c r="BD51" s="120"/>
      <c r="BE51" s="99"/>
      <c r="BF51" s="100"/>
      <c r="BG51" s="95"/>
      <c r="BH51" s="95"/>
      <c r="BI51" s="95"/>
      <c r="BJ51" s="95"/>
      <c r="BK51" s="95"/>
      <c r="BL51" s="96"/>
      <c r="BM51" s="96"/>
      <c r="BN51" s="98"/>
      <c r="BO51" s="121"/>
      <c r="BP51" s="122"/>
      <c r="BQ51" s="114"/>
      <c r="BR51" s="114"/>
      <c r="BS51" s="114"/>
      <c r="BT51" s="114"/>
      <c r="BU51" s="114"/>
      <c r="BV51" s="115"/>
      <c r="BW51" s="115"/>
      <c r="BX51" s="123"/>
    </row>
    <row r="52" spans="1:76" x14ac:dyDescent="0.3">
      <c r="A52" s="41"/>
      <c r="B52" s="41"/>
      <c r="C52" s="41"/>
      <c r="D52" s="42"/>
      <c r="E52" s="46"/>
      <c r="F52" s="39"/>
      <c r="G52" s="39"/>
      <c r="H52" s="41"/>
      <c r="I52" s="41"/>
      <c r="J52" s="41"/>
      <c r="K52" s="40"/>
      <c r="L52" s="41"/>
      <c r="M52" s="41"/>
      <c r="N52" s="42"/>
      <c r="O52" s="42"/>
      <c r="P52" s="44"/>
      <c r="Q52" s="39"/>
      <c r="R52" s="39"/>
      <c r="S52" s="40"/>
      <c r="T52" s="41"/>
      <c r="U52" s="41"/>
      <c r="V52" s="40"/>
      <c r="W52" s="41"/>
      <c r="X52" s="42"/>
      <c r="Y52" s="41"/>
      <c r="Z52" s="44"/>
      <c r="AA52" s="46"/>
      <c r="AB52" s="39"/>
      <c r="AC52" s="40"/>
      <c r="AD52" s="41"/>
      <c r="AE52" s="41"/>
      <c r="AF52" s="40"/>
      <c r="AG52" s="41"/>
      <c r="AH52" s="42"/>
      <c r="AI52" s="42"/>
      <c r="AJ52" s="42"/>
      <c r="AK52" s="46"/>
      <c r="AL52" s="39"/>
      <c r="AM52" s="40"/>
      <c r="AN52" s="41"/>
      <c r="AO52" s="41"/>
      <c r="AP52" s="40"/>
      <c r="AQ52" s="41"/>
      <c r="AR52" s="42"/>
      <c r="AS52" s="42"/>
      <c r="AT52" s="42"/>
      <c r="AU52" s="46"/>
      <c r="AV52" s="39"/>
      <c r="AW52" s="40"/>
      <c r="AX52" s="41"/>
      <c r="AY52" s="41"/>
      <c r="AZ52" s="40"/>
      <c r="BA52" s="41"/>
      <c r="BB52" s="42"/>
      <c r="BC52" s="42"/>
      <c r="BD52" s="42"/>
      <c r="BE52" s="43"/>
      <c r="BF52" s="45"/>
      <c r="BG52" s="41"/>
      <c r="BH52" s="41"/>
      <c r="BI52" s="41"/>
      <c r="BJ52" s="41"/>
      <c r="BK52" s="41"/>
      <c r="BL52" s="42"/>
      <c r="BM52" s="42">
        <v>0</v>
      </c>
      <c r="BN52" s="44">
        <v>0</v>
      </c>
      <c r="BO52" s="43">
        <v>0</v>
      </c>
      <c r="BP52" s="45">
        <v>0</v>
      </c>
      <c r="BQ52" s="41">
        <v>0</v>
      </c>
      <c r="BR52" s="41">
        <v>0</v>
      </c>
      <c r="BS52" s="41">
        <v>0</v>
      </c>
      <c r="BT52" s="41">
        <v>0</v>
      </c>
      <c r="BU52" s="41">
        <v>0</v>
      </c>
      <c r="BV52" s="42">
        <v>0</v>
      </c>
      <c r="BW52" s="42">
        <v>0</v>
      </c>
      <c r="BX52" s="44">
        <v>0</v>
      </c>
    </row>
  </sheetData>
  <mergeCells count="8">
    <mergeCell ref="BE1:BN1"/>
    <mergeCell ref="BO1:BX1"/>
    <mergeCell ref="A1:D1"/>
    <mergeCell ref="E1:P1"/>
    <mergeCell ref="Q1:Z1"/>
    <mergeCell ref="AA1:AJ1"/>
    <mergeCell ref="AK1:AT1"/>
    <mergeCell ref="AU1:BD1"/>
  </mergeCells>
  <conditionalFormatting sqref="P3:P52">
    <cfRule type="cellIs" dxfId="30" priority="13" operator="greaterThan">
      <formula>0</formula>
    </cfRule>
  </conditionalFormatting>
  <conditionalFormatting sqref="L3:L52">
    <cfRule type="cellIs" dxfId="29" priority="12" operator="equal">
      <formula>0</formula>
    </cfRule>
  </conditionalFormatting>
  <conditionalFormatting sqref="J3:J52">
    <cfRule type="cellIs" dxfId="28" priority="11" operator="equal">
      <formula>0</formula>
    </cfRule>
  </conditionalFormatting>
  <conditionalFormatting sqref="M3:M52">
    <cfRule type="cellIs" dxfId="27" priority="9" operator="equal">
      <formula>0</formula>
    </cfRule>
    <cfRule type="cellIs" dxfId="26" priority="10" operator="lessThan">
      <formula>L2</formula>
    </cfRule>
  </conditionalFormatting>
  <conditionalFormatting sqref="T3:U52">
    <cfRule type="cellIs" dxfId="25" priority="8" operator="equal">
      <formula>0</formula>
    </cfRule>
  </conditionalFormatting>
  <conditionalFormatting sqref="W3:X52">
    <cfRule type="cellIs" dxfId="24" priority="7" operator="equal">
      <formula>0</formula>
    </cfRule>
  </conditionalFormatting>
  <conditionalFormatting sqref="AD3:AE52">
    <cfRule type="cellIs" dxfId="23" priority="6" operator="equal">
      <formula>0</formula>
    </cfRule>
  </conditionalFormatting>
  <conditionalFormatting sqref="AG3:AH52">
    <cfRule type="cellIs" dxfId="22" priority="5" operator="equal">
      <formula>0</formula>
    </cfRule>
  </conditionalFormatting>
  <conditionalFormatting sqref="AN3:AO52">
    <cfRule type="cellIs" dxfId="21" priority="4" operator="equal">
      <formula>0</formula>
    </cfRule>
  </conditionalFormatting>
  <conditionalFormatting sqref="AQ3:AR52">
    <cfRule type="cellIs" dxfId="20" priority="3" operator="equal">
      <formula>0</formula>
    </cfRule>
  </conditionalFormatting>
  <conditionalFormatting sqref="AX3:AY52">
    <cfRule type="cellIs" dxfId="19" priority="2" operator="equal">
      <formula>0</formula>
    </cfRule>
  </conditionalFormatting>
  <conditionalFormatting sqref="BA3:BB52">
    <cfRule type="cellIs" dxfId="18" priority="1" operator="equal">
      <formula>0</formula>
    </cfRule>
  </conditionalFormatting>
  <pageMargins left="0.7" right="0.7" top="0.75" bottom="0.75" header="0.3" footer="0.3"/>
  <pageSetup orientation="portrait" horizontalDpi="300"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23</vt:i4>
      </vt:variant>
    </vt:vector>
  </HeadingPairs>
  <TitlesOfParts>
    <vt:vector size="33" baseType="lpstr">
      <vt:lpstr>Instructions</vt:lpstr>
      <vt:lpstr>Settings</vt:lpstr>
      <vt:lpstr>Overview</vt:lpstr>
      <vt:lpstr>Phase 1</vt:lpstr>
      <vt:lpstr>Phase 2</vt:lpstr>
      <vt:lpstr>Phase 3</vt:lpstr>
      <vt:lpstr>Phase 4</vt:lpstr>
      <vt:lpstr>Phase 5</vt:lpstr>
      <vt:lpstr>Phase 6</vt:lpstr>
      <vt:lpstr>TB History</vt:lpstr>
      <vt:lpstr>apiLogin</vt:lpstr>
      <vt:lpstr>apiPassword</vt:lpstr>
      <vt:lpstr>AutoClose</vt:lpstr>
      <vt:lpstr>AutoExport</vt:lpstr>
      <vt:lpstr>Csv1Name</vt:lpstr>
      <vt:lpstr>Csv2Name</vt:lpstr>
      <vt:lpstr>Csv3Name</vt:lpstr>
      <vt:lpstr>Csv4Name</vt:lpstr>
      <vt:lpstr>Csv5Name</vt:lpstr>
      <vt:lpstr>Csv6Name</vt:lpstr>
      <vt:lpstr>DeleteImport</vt:lpstr>
      <vt:lpstr>ExportOneSheet</vt:lpstr>
      <vt:lpstr>ExportPhases</vt:lpstr>
      <vt:lpstr>ImportName</vt:lpstr>
      <vt:lpstr>LoadMultiCSV</vt:lpstr>
      <vt:lpstr>MoveImport</vt:lpstr>
      <vt:lpstr>MoveImportFolder</vt:lpstr>
      <vt:lpstr>TBFileNames</vt:lpstr>
      <vt:lpstr>TBFolders</vt:lpstr>
      <vt:lpstr>TBIDs</vt:lpstr>
      <vt:lpstr>TBLoaded</vt:lpstr>
      <vt:lpstr>useAPI</vt:lpstr>
      <vt:lpstr>UseForm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Kidori; Tim Hall</dc:creator>
  <cp:lastModifiedBy>Kidori</cp:lastModifiedBy>
  <dcterms:created xsi:type="dcterms:W3CDTF">2011-08-25T14:29:57Z</dcterms:created>
  <dcterms:modified xsi:type="dcterms:W3CDTF">2021-01-27T20:03:23Z</dcterms:modified>
</cp:coreProperties>
</file>