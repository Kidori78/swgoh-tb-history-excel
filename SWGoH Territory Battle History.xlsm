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idori\Documents\_Documents-Mike\Gaming\Games - SWGoH\Creations\Community Project\TB Stats for Hotbot\"/>
    </mc:Choice>
  </mc:AlternateContent>
  <bookViews>
    <workbookView xWindow="-120" yWindow="-120" windowWidth="29040" windowHeight="15996" activeTab="1"/>
  </bookViews>
  <sheets>
    <sheet name="Instructions" sheetId="2" r:id="rId1"/>
    <sheet name="Settings" sheetId="3" r:id="rId2"/>
    <sheet name="Overview" sheetId="4" r:id="rId3"/>
    <sheet name="Phase 1" sheetId="5" r:id="rId4"/>
    <sheet name="Phase 2" sheetId="6" r:id="rId5"/>
    <sheet name="Phase 3" sheetId="7" r:id="rId6"/>
    <sheet name="Phase 4" sheetId="8" r:id="rId7"/>
    <sheet name="Phase 5" sheetId="9" r:id="rId8"/>
    <sheet name="Phase 6" sheetId="10" r:id="rId9"/>
  </sheets>
  <functionGroups builtInGroupCount="18"/>
  <definedNames>
    <definedName name="apiLogin">Settings!$C$23</definedName>
    <definedName name="apiPassword">Settings!$C$24</definedName>
    <definedName name="AutoClose">Settings!$C$3</definedName>
    <definedName name="AutoExport">Settings!$C$13</definedName>
    <definedName name="Csv1Name">Settings!$C$15</definedName>
    <definedName name="Csv2Name">Settings!$C$16</definedName>
    <definedName name="Csv3Name">Settings!$C$17</definedName>
    <definedName name="Csv4Name">Settings!$C$18</definedName>
    <definedName name="Csv5Name">Settings!$C$19</definedName>
    <definedName name="Csv6Name">Settings!$C$20</definedName>
    <definedName name="DeleteImport">Settings!$C$4</definedName>
    <definedName name="ExportOne">Settings!#REF!</definedName>
    <definedName name="ExportOneSheet">Settings!#REF!</definedName>
    <definedName name="ExportPhases">Settings!#REF!</definedName>
    <definedName name="FormOnOpen">Settings!#REF!</definedName>
    <definedName name="ImportName">Settings!$C$6</definedName>
    <definedName name="LoadMultiCSV">Settings!$C$14</definedName>
    <definedName name="MoveImport">Settings!$C$5</definedName>
    <definedName name="MoveImportFolder">Settings!$C$7</definedName>
    <definedName name="T01FileName">Settings!#REF!</definedName>
    <definedName name="T01Folder">Settings!#REF!</definedName>
    <definedName name="T02FileName">Settings!#REF!</definedName>
    <definedName name="T02Folder">Settings!#REF!</definedName>
    <definedName name="T03FileName">Settings!#REF!</definedName>
    <definedName name="T03Folder">Settings!#REF!</definedName>
    <definedName name="T04FileName">Settings!#REF!</definedName>
    <definedName name="T04Folder">Settings!#REF!</definedName>
    <definedName name="T05FileName">Settings!#REF!</definedName>
    <definedName name="T05Folder">Settings!#REF!</definedName>
    <definedName name="T06FileName">Settings!#REF!</definedName>
    <definedName name="T06Folder">Settings!#REF!</definedName>
    <definedName name="TBFileNames">Settings!$C$10</definedName>
    <definedName name="TBFolders">Settings!$C$9</definedName>
    <definedName name="TBIDs">Settings!$C$8</definedName>
    <definedName name="TBLoaded">Settings!$C$21</definedName>
    <definedName name="To2Folder">Settings!#REF!</definedName>
    <definedName name="useAPI">Settings!$C$22</definedName>
    <definedName name="UseForm">Settings!$C$2</definedName>
  </definedNames>
  <calcPr calcId="152511"/>
</workbook>
</file>

<file path=xl/calcChain.xml><?xml version="1.0" encoding="utf-8"?>
<calcChain xmlns="http://schemas.openxmlformats.org/spreadsheetml/2006/main">
  <c r="A53" i="4" l="1"/>
  <c r="A54" i="4" s="1"/>
  <c r="D59" i="4" l="1"/>
  <c r="C59" i="4"/>
  <c r="B59" i="4"/>
  <c r="D58" i="4"/>
  <c r="C58" i="4"/>
  <c r="B58" i="4"/>
  <c r="D57" i="4"/>
  <c r="C57" i="4"/>
  <c r="B57" i="4"/>
  <c r="B56" i="4"/>
  <c r="D56" i="4"/>
  <c r="C56" i="4"/>
  <c r="B54" i="4" l="1"/>
</calcChain>
</file>

<file path=xl/comments1.xml><?xml version="1.0" encoding="utf-8"?>
<comments xmlns="http://schemas.openxmlformats.org/spreadsheetml/2006/main">
  <authors>
    <author>Kidori</author>
  </authors>
  <commentList>
    <comment ref="M1" authorId="0" shapeId="0">
      <text>
        <r>
          <rPr>
            <b/>
            <sz val="8"/>
            <color indexed="81"/>
            <rFont val="Tahoma"/>
            <family val="2"/>
          </rPr>
          <t>Kidori:</t>
        </r>
        <r>
          <rPr>
            <sz val="8"/>
            <color indexed="81"/>
            <rFont val="Tahoma"/>
            <family val="2"/>
          </rPr>
          <t xml:space="preserve">
Use Y and N for this field</t>
        </r>
      </text>
    </comment>
    <comment ref="N1" authorId="0" shapeId="0">
      <text>
        <r>
          <rPr>
            <b/>
            <sz val="8"/>
            <color indexed="81"/>
            <rFont val="Tahoma"/>
            <family val="2"/>
          </rPr>
          <t>Kidori:</t>
        </r>
        <r>
          <rPr>
            <sz val="8"/>
            <color indexed="81"/>
            <rFont val="Tahoma"/>
            <family val="2"/>
          </rPr>
          <t xml:space="preserve">
Use Y and N for this field
</t>
        </r>
      </text>
    </comment>
  </commentList>
</comments>
</file>

<file path=xl/sharedStrings.xml><?xml version="1.0" encoding="utf-8"?>
<sst xmlns="http://schemas.openxmlformats.org/spreadsheetml/2006/main" count="205" uniqueCount="104">
  <si>
    <t>SWGOH Territory Battle History</t>
  </si>
  <si>
    <t>for use with Hotbots tbstats export file</t>
  </si>
  <si>
    <t>About</t>
  </si>
  <si>
    <t>This Excel Workbook will automatically take the tbstats file and create a new workbook that is neatly formatted. It will also automatically:</t>
  </si>
  <si>
    <t>Add the creation date of the tbstats file to the new workbook name.</t>
  </si>
  <si>
    <t>Create a folder labeled after the Territory Battle it is for in the directory this workbook is in , if it does not already exist, and then move the new workbook to that folder.</t>
  </si>
  <si>
    <t>Delete or Move and rename the tbstats file  based on settings.</t>
  </si>
  <si>
    <t>Close this workbook when it is done.</t>
  </si>
  <si>
    <t>Instructions</t>
  </si>
  <si>
    <t>The csv file generated from Hotbot's tbstats command must be in the same folder this Workbook is in.</t>
  </si>
  <si>
    <t>The name of the file must be specified in the 'File name' setting on the Settings tab.</t>
  </si>
  <si>
    <t>You have to enable Macros in order to use this Workbook.</t>
  </si>
  <si>
    <t>If the setting 'Use form for opertations' is set to TRUE it will automatically open the form when this Workbook is opened.</t>
  </si>
  <si>
    <t xml:space="preserve">     If the setting 'Use form for operations' is FALSE then you will need to use Alt + F8 to run the macro.</t>
  </si>
  <si>
    <t>If the setting 'Delete Import File' is TRUE then the HotBot file will be deleted after use.</t>
  </si>
  <si>
    <t>If the setting 'Move Import File' is TRUE then the HotBot file will be moved to the folder specified in 'Move to folder name'.</t>
  </si>
  <si>
    <t xml:space="preserve">     The moved file will include the creation date of the file to track months TB was for.</t>
  </si>
  <si>
    <t>Using Advanced Options</t>
  </si>
  <si>
    <t>If you would like to get Platoons Donated and Combat Waves completed by Phase automatically then you will need to use the Advanced Settings in the Settings spreadhseet or form and run the tbstats at the end of each phase so you have a tbstats file for each phase. Make sure they are named tbstats_p# where # is the phase number. To use your own file names change the value of the 'CSV file name' in settings.</t>
  </si>
  <si>
    <t>Set 'Load CSV by phases' to TRUE in settings.</t>
  </si>
  <si>
    <t>If you already have all phases and just want to archive it make sure 'Auto export' setting is set to TRUE.</t>
  </si>
  <si>
    <t>If you are trying to use this Workbook for live tracking during the event set 'Auto export' setting to FALSE. When you are ready to archive it press Alt + F8 and choose to run the 'Manual_Export' macro.</t>
  </si>
  <si>
    <t>Credits</t>
  </si>
  <si>
    <t>Created by Kidori</t>
  </si>
  <si>
    <t>Discord: https://discord.gg/pUWPaVhE2E</t>
  </si>
  <si>
    <t>HotBot created by HotSauce</t>
  </si>
  <si>
    <t>Discord: https://discord.me/hotutils</t>
  </si>
  <si>
    <t>Website: https://help.hotutils.com/</t>
  </si>
  <si>
    <t>Group</t>
  </si>
  <si>
    <t>Option</t>
  </si>
  <si>
    <t>Setting</t>
  </si>
  <si>
    <t>Workbook</t>
  </si>
  <si>
    <t>Use form for operations</t>
  </si>
  <si>
    <t>Auto close when finished</t>
  </si>
  <si>
    <t>Importing</t>
  </si>
  <si>
    <t>Delete Import File</t>
  </si>
  <si>
    <t>Move Import File</t>
  </si>
  <si>
    <t>File name</t>
  </si>
  <si>
    <t>tbstats.csv</t>
  </si>
  <si>
    <t>Move to folder name</t>
  </si>
  <si>
    <t>Game Info</t>
  </si>
  <si>
    <t>Terrritory Battle IDs</t>
  </si>
  <si>
    <t>T01D,T02D,T03D,T04D</t>
  </si>
  <si>
    <t>Export</t>
  </si>
  <si>
    <t>TB Folder Names</t>
  </si>
  <si>
    <t>Hoth - Rebel Assault,Hoth - Imperial Retalliation,Geonosis - Separatist Might,Geonosis - Republic Offensive</t>
  </si>
  <si>
    <t>TB Save Name</t>
  </si>
  <si>
    <t>Hoth LS,Hoth DS,Geoonosis DS,Geonosis LS</t>
  </si>
  <si>
    <t>ADVANCED SETTINGS</t>
  </si>
  <si>
    <t>Auto Export</t>
  </si>
  <si>
    <t>Load CSV by phases</t>
  </si>
  <si>
    <t>CSV file name Phase 1</t>
  </si>
  <si>
    <t>tbstats_p1.csv</t>
  </si>
  <si>
    <t>CSV file name Phase 2</t>
  </si>
  <si>
    <t>tbstats_p2.csv</t>
  </si>
  <si>
    <t>CSV file name Phase 3</t>
  </si>
  <si>
    <t>tbstats_p3.csv</t>
  </si>
  <si>
    <t>CSV file name Phase 4</t>
  </si>
  <si>
    <t>tbstats_p4.csv</t>
  </si>
  <si>
    <t>CSV file name Phase 5</t>
  </si>
  <si>
    <t>tbstats_p5.csv</t>
  </si>
  <si>
    <t>CSV file name Phase 6</t>
  </si>
  <si>
    <t>tbstats_p6.csv</t>
  </si>
  <si>
    <t>Current TB loaded</t>
  </si>
  <si>
    <t>API</t>
  </si>
  <si>
    <t>Use api to get GP</t>
  </si>
  <si>
    <t>SWGOH.HELP Login</t>
  </si>
  <si>
    <t>SWGOH.HELP Password</t>
  </si>
  <si>
    <t>Guild Member</t>
  </si>
  <si>
    <t>Ally Code</t>
  </si>
  <si>
    <t>Total Territory Points</t>
  </si>
  <si>
    <t>Max Available GP to Deploy</t>
  </si>
  <si>
    <t>Actual GP Deployed</t>
  </si>
  <si>
    <t>Platoons</t>
  </si>
  <si>
    <t>Platoons Assigned</t>
  </si>
  <si>
    <t>Combat Waves Completed</t>
  </si>
  <si>
    <t>Combat Mssion Points</t>
  </si>
  <si>
    <t>Special Missions</t>
  </si>
  <si>
    <t>Special Mission Success</t>
  </si>
  <si>
    <t>Rogue Actions</t>
  </si>
  <si>
    <t>Exclusive Unit Mission Attempt</t>
  </si>
  <si>
    <t>Exclusive Unit Mission Success</t>
  </si>
  <si>
    <t>Character GP</t>
  </si>
  <si>
    <t>Ship GP</t>
  </si>
  <si>
    <t>Territory Points</t>
  </si>
  <si>
    <t>Available GP</t>
  </si>
  <si>
    <t>GP Deployed</t>
  </si>
  <si>
    <t>Combat Missions Attempted</t>
  </si>
  <si>
    <t>CM Points</t>
  </si>
  <si>
    <t>Special Missions Attempted</t>
  </si>
  <si>
    <t>SM Success</t>
  </si>
  <si>
    <t>Platoons Donated</t>
  </si>
  <si>
    <t>Rogue Action</t>
  </si>
  <si>
    <t>Phase 1</t>
  </si>
  <si>
    <t>Phase 2</t>
  </si>
  <si>
    <t>Phase 3</t>
  </si>
  <si>
    <t>Phase 4</t>
  </si>
  <si>
    <t>Important Note: To get guild member gp, Combat Waves Completed, Rogue Actions, and Platoons Donated per phase you will need to use Advanced Settings otherwise these will be manual fields. To use this workbook for tracking during a TB disable the auto export in settings.</t>
  </si>
  <si>
    <t>After enabling macros, press Alt + F8 and click run with 'Import_TB_History' selected.</t>
  </si>
  <si>
    <t>COMING SOON</t>
  </si>
  <si>
    <t>Totals by Phase</t>
  </si>
  <si>
    <t>Combat Points</t>
  </si>
  <si>
    <t>Total Stars</t>
  </si>
  <si>
    <t>Imported Files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</si>
</sst>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1" tint="4.9989318521683403E-2"/>
      <name val="Calibri"/>
      <family val="2"/>
      <scheme val="minor"/>
    </font>
    <font>
      <sz val="11"/>
      <color theme="1" tint="4.9989318521683403E-2"/>
      <name val="Calibri"/>
      <family val="2"/>
      <scheme val="minor"/>
    </font>
    <font>
      <sz val="10"/>
      <color theme="1"/>
      <name val="Calibri"/>
      <family val="2"/>
      <scheme val="minor"/>
    </font>
    <font>
      <b/>
      <sz val="14"/>
      <color theme="1"/>
      <name val="Calibri"/>
      <family val="2"/>
      <scheme val="minor"/>
    </font>
    <font>
      <b/>
      <sz val="12"/>
      <color theme="1"/>
      <name val="Calibri"/>
      <family val="2"/>
      <scheme val="minor"/>
    </font>
    <font>
      <b/>
      <sz val="11"/>
      <color rgb="FFFFFFFF"/>
      <name val="Calibri"/>
      <family val="2"/>
      <scheme val="minor"/>
    </font>
    <font>
      <sz val="8"/>
      <color indexed="81"/>
      <name val="Tahoma"/>
      <family val="2"/>
    </font>
    <font>
      <b/>
      <sz val="8"/>
      <color indexed="81"/>
      <name val="Tahoma"/>
      <family val="2"/>
    </font>
    <font>
      <b/>
      <sz val="11"/>
      <color rgb="FFF8F8F8"/>
      <name val="Calibri"/>
      <family val="2"/>
      <scheme val="minor"/>
    </font>
    <font>
      <b/>
      <sz val="14"/>
      <color rgb="FFFFFFFF"/>
      <name val="Calibri"/>
      <family val="2"/>
      <scheme val="minor"/>
    </font>
    <font>
      <sz val="14"/>
      <color theme="1"/>
      <name val="Calibri"/>
      <family val="2"/>
      <scheme val="minor"/>
    </font>
    <font>
      <sz val="14"/>
      <color rgb="FF5F5F5F"/>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1"/>
        <bgColor indexed="64"/>
      </patternFill>
    </fill>
    <fill>
      <patternFill patternType="solid">
        <fgColor theme="1"/>
        <bgColor theme="1"/>
      </patternFill>
    </fill>
    <fill>
      <patternFill patternType="solid">
        <fgColor theme="0" tint="-0.249977111117893"/>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595959"/>
        <bgColor indexed="64"/>
      </patternFill>
    </fill>
    <fill>
      <patternFill patternType="solid">
        <fgColor rgb="FFA9D08E"/>
        <bgColor indexed="64"/>
      </patternFill>
    </fill>
    <fill>
      <patternFill patternType="solid">
        <fgColor rgb="FFE2EFDA"/>
        <bgColor indexed="64"/>
      </patternFill>
    </fill>
    <fill>
      <patternFill patternType="solid">
        <fgColor rgb="FFEAEAEA"/>
        <bgColor indexed="64"/>
      </patternFill>
    </fill>
    <fill>
      <patternFill patternType="solid">
        <fgColor rgb="FF333333"/>
        <bgColor indexed="64"/>
      </patternFill>
    </fill>
    <fill>
      <patternFill patternType="solid">
        <fgColor rgb="FF5F5F5F"/>
        <bgColor indexed="64"/>
      </patternFill>
    </fill>
    <fill>
      <patternFill patternType="solid">
        <fgColor rgb="FFFFFFCC"/>
        <bgColor indexed="64"/>
      </patternFill>
    </fill>
    <fill>
      <patternFill patternType="solid">
        <fgColor rgb="FFFFFF66"/>
        <bgColor indexed="64"/>
      </patternFill>
    </fill>
  </fills>
  <borders count="57">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indexed="64"/>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2">
    <xf numFmtId="0" fontId="0" fillId="0" borderId="0"/>
    <xf numFmtId="43" fontId="1" fillId="0" borderId="0" applyFont="0" applyFill="0" applyBorder="0" applyAlignment="0" applyProtection="0"/>
  </cellStyleXfs>
  <cellXfs count="181">
    <xf numFmtId="0" fontId="0" fillId="0" borderId="0" xfId="0"/>
    <xf numFmtId="0" fontId="0" fillId="0" borderId="0" xfId="0" applyAlignment="1">
      <alignment vertical="center"/>
    </xf>
    <xf numFmtId="0" fontId="0" fillId="0" borderId="36" xfId="0" applyBorder="1" applyAlignment="1">
      <alignment horizontal="center"/>
    </xf>
    <xf numFmtId="0" fontId="0" fillId="0" borderId="37" xfId="0" applyBorder="1" applyAlignment="1">
      <alignment horizontal="left"/>
    </xf>
    <xf numFmtId="0" fontId="0" fillId="0" borderId="38" xfId="0" applyFill="1" applyBorder="1" applyAlignment="1">
      <alignment horizontal="left"/>
    </xf>
    <xf numFmtId="0" fontId="3" fillId="0" borderId="38" xfId="0" applyFont="1" applyFill="1" applyBorder="1" applyAlignment="1">
      <alignment horizontal="left"/>
    </xf>
    <xf numFmtId="0" fontId="0" fillId="0" borderId="39" xfId="0" applyFill="1" applyBorder="1" applyAlignment="1">
      <alignment horizontal="left"/>
    </xf>
    <xf numFmtId="0" fontId="0" fillId="0" borderId="38" xfId="0" applyFill="1" applyBorder="1"/>
    <xf numFmtId="0" fontId="3" fillId="0" borderId="38" xfId="0" applyFont="1" applyFill="1" applyBorder="1"/>
    <xf numFmtId="0" fontId="3" fillId="0" borderId="40" xfId="0" applyFont="1" applyFill="1" applyBorder="1"/>
    <xf numFmtId="0" fontId="0" fillId="0" borderId="41" xfId="0" applyFill="1" applyBorder="1" applyAlignment="1">
      <alignment horizontal="left"/>
    </xf>
    <xf numFmtId="0" fontId="0" fillId="0" borderId="38" xfId="0" applyFont="1" applyFill="1" applyBorder="1"/>
    <xf numFmtId="0" fontId="0" fillId="0" borderId="39" xfId="0" applyFont="1" applyFill="1" applyBorder="1" applyAlignment="1">
      <alignment horizontal="left"/>
    </xf>
    <xf numFmtId="0" fontId="0" fillId="0" borderId="39" xfId="0" applyFont="1" applyFill="1" applyBorder="1" applyAlignment="1">
      <alignment horizontal="left" wrapText="1"/>
    </xf>
    <xf numFmtId="0" fontId="0" fillId="0" borderId="40" xfId="0" applyFont="1" applyFill="1" applyBorder="1"/>
    <xf numFmtId="0" fontId="0" fillId="0" borderId="41" xfId="0" applyFont="1" applyFill="1" applyBorder="1" applyAlignment="1">
      <alignment horizontal="left"/>
    </xf>
    <xf numFmtId="0" fontId="2" fillId="5" borderId="8" xfId="0" applyFont="1" applyFill="1" applyBorder="1" applyAlignment="1"/>
    <xf numFmtId="0" fontId="2" fillId="6" borderId="36" xfId="0" applyFont="1" applyFill="1" applyBorder="1" applyAlignment="1">
      <alignment horizontal="center"/>
    </xf>
    <xf numFmtId="0" fontId="2" fillId="6" borderId="36" xfId="0" applyFont="1" applyFill="1" applyBorder="1" applyAlignment="1">
      <alignment horizontal="left"/>
    </xf>
    <xf numFmtId="0" fontId="3" fillId="0" borderId="0" xfId="0" applyFont="1"/>
    <xf numFmtId="0" fontId="0" fillId="0" borderId="0" xfId="0" applyAlignment="1">
      <alignment horizontal="left"/>
    </xf>
    <xf numFmtId="0" fontId="0" fillId="0" borderId="43" xfId="0" applyFont="1" applyFill="1" applyBorder="1"/>
    <xf numFmtId="0" fontId="0" fillId="0" borderId="38" xfId="0" applyFont="1" applyFill="1" applyBorder="1" applyAlignment="1">
      <alignment horizontal="center"/>
    </xf>
    <xf numFmtId="164" fontId="0" fillId="0" borderId="38" xfId="1" applyNumberFormat="1" applyFont="1" applyFill="1" applyBorder="1" applyAlignment="1">
      <alignment horizontal="center"/>
    </xf>
    <xf numFmtId="0" fontId="0" fillId="0" borderId="38" xfId="0" applyFont="1" applyFill="1" applyBorder="1" applyAlignment="1">
      <alignment horizontal="right"/>
    </xf>
    <xf numFmtId="3" fontId="0" fillId="0" borderId="38" xfId="0" applyNumberFormat="1" applyFont="1" applyFill="1" applyBorder="1" applyAlignment="1">
      <alignment horizontal="right"/>
    </xf>
    <xf numFmtId="3" fontId="0" fillId="0" borderId="39" xfId="0" applyNumberFormat="1" applyFont="1" applyFill="1" applyBorder="1" applyAlignment="1">
      <alignment horizontal="right" vertical="center"/>
    </xf>
    <xf numFmtId="0" fontId="0" fillId="0" borderId="44" xfId="0" applyFont="1" applyFill="1" applyBorder="1"/>
    <xf numFmtId="0" fontId="0" fillId="0" borderId="40" xfId="0" applyFont="1" applyFill="1" applyBorder="1" applyAlignment="1">
      <alignment horizontal="center"/>
    </xf>
    <xf numFmtId="3" fontId="0" fillId="0" borderId="40" xfId="0" applyNumberFormat="1" applyFont="1" applyFill="1" applyBorder="1" applyAlignment="1">
      <alignment horizontal="right"/>
    </xf>
    <xf numFmtId="0" fontId="0" fillId="0" borderId="0" xfId="0" applyAlignment="1">
      <alignment horizontal="center"/>
    </xf>
    <xf numFmtId="0" fontId="7" fillId="0" borderId="0" xfId="0" applyFont="1" applyAlignment="1">
      <alignment horizontal="left"/>
    </xf>
    <xf numFmtId="3" fontId="0" fillId="0" borderId="39" xfId="0" applyNumberFormat="1" applyFont="1" applyFill="1" applyBorder="1" applyAlignment="1">
      <alignment horizontal="right"/>
    </xf>
    <xf numFmtId="0" fontId="0" fillId="0" borderId="39" xfId="0" applyFont="1" applyFill="1" applyBorder="1" applyAlignment="1">
      <alignment horizontal="right"/>
    </xf>
    <xf numFmtId="3" fontId="1" fillId="0" borderId="38" xfId="0" applyNumberFormat="1" applyFont="1" applyFill="1" applyBorder="1" applyAlignment="1">
      <alignment horizontal="center"/>
    </xf>
    <xf numFmtId="3" fontId="0" fillId="0" borderId="41" xfId="0" applyNumberFormat="1" applyFont="1" applyFill="1" applyBorder="1" applyAlignment="1">
      <alignment horizontal="right"/>
    </xf>
    <xf numFmtId="0" fontId="0" fillId="0" borderId="41" xfId="0" applyFont="1" applyFill="1" applyBorder="1" applyAlignment="1">
      <alignment horizontal="right"/>
    </xf>
    <xf numFmtId="3" fontId="1" fillId="0" borderId="40" xfId="0" applyNumberFormat="1" applyFont="1" applyFill="1" applyBorder="1" applyAlignment="1">
      <alignment horizontal="center"/>
    </xf>
    <xf numFmtId="0" fontId="7" fillId="7" borderId="7" xfId="0" applyFont="1" applyFill="1" applyBorder="1" applyAlignment="1">
      <alignment horizontal="left"/>
    </xf>
    <xf numFmtId="0" fontId="7" fillId="10" borderId="7" xfId="0" applyFont="1" applyFill="1" applyBorder="1"/>
    <xf numFmtId="0" fontId="7" fillId="7" borderId="7" xfId="0" applyFont="1" applyFill="1" applyBorder="1"/>
    <xf numFmtId="0" fontId="0" fillId="10" borderId="7" xfId="0" applyFill="1" applyBorder="1"/>
    <xf numFmtId="0" fontId="0" fillId="12" borderId="0" xfId="0" applyFill="1"/>
    <xf numFmtId="0" fontId="5" fillId="12" borderId="0" xfId="0" applyFont="1" applyFill="1"/>
    <xf numFmtId="0" fontId="4" fillId="12" borderId="0" xfId="0" applyFont="1" applyFill="1"/>
    <xf numFmtId="0" fontId="2" fillId="12" borderId="0" xfId="0" applyFont="1" applyFill="1" applyAlignment="1">
      <alignment horizontal="center"/>
    </xf>
    <xf numFmtId="0" fontId="0" fillId="12" borderId="0" xfId="0" applyFill="1" applyAlignment="1">
      <alignment vertical="center"/>
    </xf>
    <xf numFmtId="0" fontId="9" fillId="12" borderId="0" xfId="0" applyFont="1" applyFill="1"/>
    <xf numFmtId="0" fontId="3" fillId="12" borderId="0" xfId="0" applyFont="1" applyFill="1"/>
    <xf numFmtId="3" fontId="0" fillId="0" borderId="38" xfId="0" applyNumberFormat="1" applyFont="1" applyFill="1" applyBorder="1" applyAlignment="1">
      <alignment horizontal="center"/>
    </xf>
    <xf numFmtId="0" fontId="11" fillId="16" borderId="38" xfId="0" applyFont="1" applyFill="1" applyBorder="1"/>
    <xf numFmtId="0" fontId="11" fillId="16" borderId="38" xfId="0" applyFont="1" applyFill="1" applyBorder="1" applyAlignment="1">
      <alignment horizontal="center"/>
    </xf>
    <xf numFmtId="0" fontId="0" fillId="0" borderId="44" xfId="0" quotePrefix="1" applyFont="1" applyFill="1" applyBorder="1"/>
    <xf numFmtId="0" fontId="0" fillId="0" borderId="40" xfId="0" quotePrefix="1" applyFont="1" applyFill="1" applyBorder="1" applyAlignment="1">
      <alignment horizontal="center"/>
    </xf>
    <xf numFmtId="3" fontId="0" fillId="0" borderId="40" xfId="0" quotePrefix="1" applyNumberFormat="1" applyFont="1" applyFill="1" applyBorder="1" applyAlignment="1">
      <alignment horizontal="right"/>
    </xf>
    <xf numFmtId="3" fontId="0" fillId="0" borderId="41" xfId="0" quotePrefix="1" applyNumberFormat="1" applyFont="1" applyFill="1" applyBorder="1" applyAlignment="1">
      <alignment horizontal="right"/>
    </xf>
    <xf numFmtId="0" fontId="0" fillId="0" borderId="41" xfId="0" quotePrefix="1" applyFont="1" applyFill="1" applyBorder="1" applyAlignment="1">
      <alignment horizontal="right"/>
    </xf>
    <xf numFmtId="3" fontId="1" fillId="0" borderId="40" xfId="0" quotePrefix="1" applyNumberFormat="1" applyFont="1" applyFill="1" applyBorder="1" applyAlignment="1">
      <alignment horizontal="center"/>
    </xf>
    <xf numFmtId="164" fontId="0" fillId="15" borderId="38" xfId="1" applyNumberFormat="1" applyFont="1" applyFill="1" applyBorder="1" applyAlignment="1">
      <alignment horizontal="right"/>
    </xf>
    <xf numFmtId="164" fontId="0" fillId="0" borderId="38" xfId="1" applyNumberFormat="1" applyFont="1" applyFill="1" applyBorder="1" applyAlignment="1">
      <alignment horizontal="right"/>
    </xf>
    <xf numFmtId="0" fontId="0" fillId="0" borderId="43" xfId="0" quotePrefix="1" applyFont="1" applyFill="1" applyBorder="1"/>
    <xf numFmtId="0" fontId="0" fillId="0" borderId="38" xfId="0" quotePrefix="1" applyFont="1" applyFill="1" applyBorder="1" applyAlignment="1">
      <alignment horizontal="center"/>
    </xf>
    <xf numFmtId="3"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xf>
    <xf numFmtId="0" fontId="0" fillId="0" borderId="39" xfId="0" quotePrefix="1" applyFont="1" applyFill="1" applyBorder="1" applyAlignment="1">
      <alignment horizontal="right"/>
    </xf>
    <xf numFmtId="3" fontId="1" fillId="0" borderId="38" xfId="0" quotePrefix="1" applyNumberFormat="1" applyFont="1" applyFill="1" applyBorder="1" applyAlignment="1">
      <alignment horizontal="center"/>
    </xf>
    <xf numFmtId="0" fontId="3" fillId="0" borderId="42" xfId="0" applyFont="1" applyFill="1" applyBorder="1" applyAlignment="1">
      <alignment horizontal="left" vertical="center" wrapText="1"/>
    </xf>
    <xf numFmtId="0" fontId="3" fillId="0" borderId="36" xfId="0" applyFont="1" applyFill="1" applyBorder="1" applyAlignment="1">
      <alignment horizontal="left" vertical="center" wrapText="1"/>
    </xf>
    <xf numFmtId="0" fontId="3" fillId="0" borderId="37" xfId="0" applyFont="1" applyFill="1" applyBorder="1" applyAlignment="1">
      <alignment horizontal="left" vertical="center" wrapText="1"/>
    </xf>
    <xf numFmtId="0" fontId="0" fillId="0" borderId="37" xfId="0" applyFont="1" applyFill="1" applyBorder="1" applyAlignment="1">
      <alignment horizontal="right"/>
    </xf>
    <xf numFmtId="3" fontId="1" fillId="0" borderId="36" xfId="0" applyNumberFormat="1" applyFont="1" applyFill="1" applyBorder="1" applyAlignment="1">
      <alignment horizontal="center"/>
    </xf>
    <xf numFmtId="0" fontId="14" fillId="17" borderId="42" xfId="0" applyFont="1" applyFill="1" applyBorder="1" applyAlignment="1">
      <alignment horizontal="left" vertical="center" wrapText="1"/>
    </xf>
    <xf numFmtId="0" fontId="14" fillId="17" borderId="36" xfId="0" applyFont="1" applyFill="1" applyBorder="1" applyAlignment="1">
      <alignment horizontal="left" vertical="center" wrapText="1"/>
    </xf>
    <xf numFmtId="0" fontId="14" fillId="17" borderId="37" xfId="0" applyFont="1" applyFill="1" applyBorder="1" applyAlignment="1">
      <alignment horizontal="left" vertical="center" wrapText="1"/>
    </xf>
    <xf numFmtId="164" fontId="0" fillId="0" borderId="38" xfId="1" quotePrefix="1" applyNumberFormat="1" applyFont="1" applyFill="1" applyBorder="1" applyAlignment="1">
      <alignment horizontal="center"/>
    </xf>
    <xf numFmtId="164" fontId="0" fillId="0" borderId="40" xfId="1" applyNumberFormat="1" applyFont="1" applyFill="1" applyBorder="1" applyAlignment="1">
      <alignment horizontal="center"/>
    </xf>
    <xf numFmtId="0" fontId="0" fillId="0" borderId="38" xfId="0" quotePrefix="1" applyFont="1" applyFill="1" applyBorder="1" applyAlignment="1">
      <alignment horizontal="right"/>
    </xf>
    <xf numFmtId="0" fontId="0" fillId="0" borderId="40" xfId="0" applyFont="1" applyFill="1" applyBorder="1" applyAlignment="1">
      <alignment horizontal="right"/>
    </xf>
    <xf numFmtId="0"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vertical="center"/>
    </xf>
    <xf numFmtId="3" fontId="0" fillId="0" borderId="41" xfId="0" applyNumberFormat="1" applyFont="1" applyFill="1" applyBorder="1" applyAlignment="1">
      <alignment horizontal="right" vertical="center"/>
    </xf>
    <xf numFmtId="0" fontId="16" fillId="0" borderId="0" xfId="0" applyFont="1"/>
    <xf numFmtId="0" fontId="0" fillId="17" borderId="49" xfId="0" applyFill="1" applyBorder="1" applyAlignment="1">
      <alignment horizontal="center"/>
    </xf>
    <xf numFmtId="0" fontId="0" fillId="17" borderId="50" xfId="0" applyFill="1" applyBorder="1" applyAlignment="1">
      <alignment horizontal="center"/>
    </xf>
    <xf numFmtId="0" fontId="0" fillId="17" borderId="34" xfId="0" applyFill="1" applyBorder="1"/>
    <xf numFmtId="0" fontId="0" fillId="17" borderId="34" xfId="0" applyFill="1" applyBorder="1" applyAlignment="1">
      <alignment horizontal="center"/>
    </xf>
    <xf numFmtId="0" fontId="10" fillId="13" borderId="51" xfId="0" applyFont="1" applyFill="1" applyBorder="1"/>
    <xf numFmtId="0" fontId="0" fillId="14" borderId="52" xfId="0" applyFill="1" applyBorder="1"/>
    <xf numFmtId="0" fontId="3" fillId="19" borderId="52" xfId="0" applyFont="1" applyFill="1" applyBorder="1" applyAlignment="1">
      <alignment horizontal="center"/>
    </xf>
    <xf numFmtId="0" fontId="0" fillId="18" borderId="53" xfId="0" applyFill="1" applyBorder="1" applyAlignment="1">
      <alignment horizontal="center"/>
    </xf>
    <xf numFmtId="0" fontId="11" fillId="16" borderId="45" xfId="0" applyFont="1" applyFill="1" applyBorder="1"/>
    <xf numFmtId="0" fontId="11" fillId="16" borderId="46" xfId="0" applyFont="1" applyFill="1" applyBorder="1" applyAlignment="1">
      <alignment horizontal="center"/>
    </xf>
    <xf numFmtId="0" fontId="3" fillId="15" borderId="45" xfId="0" applyFont="1" applyFill="1" applyBorder="1"/>
    <xf numFmtId="164" fontId="0" fillId="15" borderId="46" xfId="1" applyNumberFormat="1" applyFont="1" applyFill="1" applyBorder="1" applyAlignment="1">
      <alignment horizontal="right"/>
    </xf>
    <xf numFmtId="0" fontId="3" fillId="0" borderId="45" xfId="0" applyFont="1" applyFill="1" applyBorder="1"/>
    <xf numFmtId="164" fontId="0" fillId="0" borderId="46" xfId="1" applyNumberFormat="1" applyFont="1" applyFill="1" applyBorder="1" applyAlignment="1">
      <alignment horizontal="right"/>
    </xf>
    <xf numFmtId="0" fontId="3" fillId="0" borderId="54" xfId="0" applyFont="1" applyFill="1" applyBorder="1"/>
    <xf numFmtId="164" fontId="0" fillId="0" borderId="55" xfId="1" applyNumberFormat="1" applyFont="1" applyFill="1" applyBorder="1" applyAlignment="1">
      <alignment horizontal="right"/>
    </xf>
    <xf numFmtId="164" fontId="0" fillId="0" borderId="56" xfId="1" applyNumberFormat="1" applyFont="1" applyFill="1" applyBorder="1" applyAlignment="1">
      <alignment horizontal="right"/>
    </xf>
    <xf numFmtId="0" fontId="17" fillId="17" borderId="48" xfId="0" applyFont="1" applyFill="1" applyBorder="1" applyAlignment="1">
      <alignment horizontal="center"/>
    </xf>
    <xf numFmtId="0" fontId="3" fillId="4" borderId="7" xfId="0" applyFont="1" applyFill="1" applyBorder="1" applyAlignment="1">
      <alignment vertical="center" wrapText="1"/>
    </xf>
    <xf numFmtId="0" fontId="3" fillId="4" borderId="8" xfId="0" applyFont="1" applyFill="1" applyBorder="1" applyAlignment="1">
      <alignment vertical="center" wrapText="1"/>
    </xf>
    <xf numFmtId="0" fontId="3" fillId="4" borderId="9" xfId="0" applyFont="1" applyFill="1" applyBorder="1" applyAlignment="1">
      <alignment vertical="center" wrapText="1"/>
    </xf>
    <xf numFmtId="0" fontId="2" fillId="12" borderId="0" xfId="0" applyFont="1" applyFill="1" applyAlignment="1">
      <alignment horizontal="center"/>
    </xf>
    <xf numFmtId="0" fontId="6" fillId="11" borderId="1" xfId="0" applyFont="1" applyFill="1" applyBorder="1" applyAlignment="1">
      <alignment horizontal="left"/>
    </xf>
    <xf numFmtId="0" fontId="6" fillId="11" borderId="2" xfId="0" applyFont="1" applyFill="1" applyBorder="1" applyAlignment="1">
      <alignment horizontal="left"/>
    </xf>
    <xf numFmtId="0" fontId="6" fillId="11" borderId="3" xfId="0" applyFont="1" applyFill="1" applyBorder="1" applyAlignment="1">
      <alignment horizontal="left"/>
    </xf>
    <xf numFmtId="0" fontId="7" fillId="2" borderId="4" xfId="0" applyFont="1" applyFill="1" applyBorder="1" applyAlignment="1">
      <alignment horizontal="left"/>
    </xf>
    <xf numFmtId="0" fontId="7" fillId="2" borderId="5" xfId="0" applyFont="1" applyFill="1" applyBorder="1" applyAlignment="1">
      <alignment horizontal="left"/>
    </xf>
    <xf numFmtId="0" fontId="7" fillId="2" borderId="6" xfId="0" applyFont="1" applyFill="1" applyBorder="1" applyAlignment="1">
      <alignment horizontal="left"/>
    </xf>
    <xf numFmtId="0" fontId="7" fillId="7" borderId="8" xfId="0" applyFont="1" applyFill="1" applyBorder="1" applyAlignment="1">
      <alignment horizontal="left"/>
    </xf>
    <xf numFmtId="0" fontId="7" fillId="7" borderId="9" xfId="0" applyFont="1" applyFill="1" applyBorder="1" applyAlignment="1">
      <alignment horizontal="left"/>
    </xf>
    <xf numFmtId="0" fontId="7" fillId="10" borderId="8" xfId="0" applyFont="1" applyFill="1" applyBorder="1" applyAlignment="1">
      <alignment horizontal="left" wrapText="1"/>
    </xf>
    <xf numFmtId="0" fontId="7" fillId="10" borderId="9" xfId="0" applyFont="1" applyFill="1" applyBorder="1" applyAlignment="1">
      <alignment horizontal="left" wrapText="1"/>
    </xf>
    <xf numFmtId="0" fontId="0" fillId="10" borderId="8" xfId="0" applyFill="1" applyBorder="1" applyAlignment="1">
      <alignment horizontal="left"/>
    </xf>
    <xf numFmtId="0" fontId="0" fillId="10" borderId="9" xfId="0" applyFill="1" applyBorder="1" applyAlignment="1">
      <alignment horizontal="left"/>
    </xf>
    <xf numFmtId="0" fontId="8" fillId="2" borderId="10" xfId="0" applyFont="1" applyFill="1" applyBorder="1" applyAlignment="1">
      <alignment horizontal="center" wrapText="1"/>
    </xf>
    <xf numFmtId="0" fontId="8" fillId="2" borderId="11" xfId="0" applyFont="1" applyFill="1" applyBorder="1" applyAlignment="1">
      <alignment horizontal="center" wrapText="1"/>
    </xf>
    <xf numFmtId="0" fontId="8" fillId="2" borderId="12" xfId="0" applyFont="1" applyFill="1" applyBorder="1" applyAlignment="1">
      <alignment horizontal="center" wrapText="1"/>
    </xf>
    <xf numFmtId="0" fontId="9" fillId="3" borderId="13" xfId="0" applyFont="1" applyFill="1" applyBorder="1"/>
    <xf numFmtId="0" fontId="9" fillId="3" borderId="14" xfId="0" applyFont="1" applyFill="1" applyBorder="1"/>
    <xf numFmtId="0" fontId="9" fillId="3" borderId="15" xfId="0" applyFont="1" applyFill="1" applyBorder="1"/>
    <xf numFmtId="0" fontId="0" fillId="4" borderId="16" xfId="0" applyFill="1" applyBorder="1" applyAlignment="1">
      <alignment vertical="center" wrapText="1"/>
    </xf>
    <xf numFmtId="0" fontId="0" fillId="4" borderId="17" xfId="0" applyFill="1" applyBorder="1" applyAlignment="1">
      <alignment vertical="center" wrapText="1"/>
    </xf>
    <xf numFmtId="0" fontId="0" fillId="4" borderId="18" xfId="0" applyFill="1"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4" borderId="7" xfId="0" applyFont="1" applyFill="1" applyBorder="1" applyAlignment="1">
      <alignment wrapText="1"/>
    </xf>
    <xf numFmtId="0" fontId="0" fillId="4" borderId="8" xfId="0" applyFont="1" applyFill="1" applyBorder="1" applyAlignment="1">
      <alignment wrapText="1"/>
    </xf>
    <xf numFmtId="0" fontId="0" fillId="4" borderId="9" xfId="0" applyFont="1" applyFill="1" applyBorder="1" applyAlignment="1">
      <alignment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4" borderId="7" xfId="0" applyFill="1" applyBorder="1" applyAlignment="1">
      <alignment vertical="center" wrapText="1"/>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19" xfId="0" applyFill="1" applyBorder="1" applyAlignment="1">
      <alignment vertical="center" wrapText="1"/>
    </xf>
    <xf numFmtId="0" fontId="0" fillId="4" borderId="0" xfId="0" applyFill="1" applyBorder="1" applyAlignment="1">
      <alignment vertical="center" wrapText="1"/>
    </xf>
    <xf numFmtId="0" fontId="0" fillId="4" borderId="20" xfId="0" applyFill="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4" borderId="21" xfId="0" applyFill="1" applyBorder="1" applyAlignment="1">
      <alignment vertical="center" wrapText="1"/>
    </xf>
    <xf numFmtId="0" fontId="0" fillId="4" borderId="22" xfId="0" applyFill="1" applyBorder="1" applyAlignment="1">
      <alignment vertical="center" wrapText="1"/>
    </xf>
    <xf numFmtId="0" fontId="0" fillId="4" borderId="23" xfId="0" applyFill="1" applyBorder="1" applyAlignment="1">
      <alignment vertical="center" wrapText="1"/>
    </xf>
    <xf numFmtId="0" fontId="9" fillId="3" borderId="24" xfId="0" applyFont="1" applyFill="1" applyBorder="1" applyAlignment="1">
      <alignment wrapText="1"/>
    </xf>
    <xf numFmtId="0" fontId="9" fillId="3" borderId="25" xfId="0" applyFont="1" applyFill="1" applyBorder="1" applyAlignment="1">
      <alignment wrapText="1"/>
    </xf>
    <xf numFmtId="0" fontId="9" fillId="3" borderId="26" xfId="0" applyFont="1" applyFill="1" applyBorder="1" applyAlignment="1">
      <alignment wrapText="1"/>
    </xf>
    <xf numFmtId="0" fontId="0" fillId="4" borderId="27" xfId="0" applyFont="1" applyFill="1" applyBorder="1" applyAlignment="1">
      <alignment vertical="center" wrapText="1"/>
    </xf>
    <xf numFmtId="0" fontId="0" fillId="4" borderId="28" xfId="0" applyFont="1" applyFill="1" applyBorder="1" applyAlignment="1">
      <alignment vertical="center" wrapText="1"/>
    </xf>
    <xf numFmtId="0" fontId="0" fillId="4" borderId="29" xfId="0" applyFont="1" applyFill="1" applyBorder="1" applyAlignment="1">
      <alignment vertical="center" wrapText="1"/>
    </xf>
    <xf numFmtId="0" fontId="0" fillId="2" borderId="7" xfId="0" applyFont="1" applyFill="1" applyBorder="1" applyAlignment="1">
      <alignment wrapText="1"/>
    </xf>
    <xf numFmtId="0" fontId="0" fillId="2" borderId="8" xfId="0" applyFont="1" applyFill="1" applyBorder="1" applyAlignment="1">
      <alignment wrapText="1"/>
    </xf>
    <xf numFmtId="0" fontId="0" fillId="2" borderId="9" xfId="0" applyFont="1" applyFill="1" applyBorder="1" applyAlignment="1">
      <alignment wrapText="1"/>
    </xf>
    <xf numFmtId="0" fontId="0" fillId="8" borderId="19" xfId="0" applyFill="1" applyBorder="1"/>
    <xf numFmtId="0" fontId="0" fillId="8" borderId="0" xfId="0" applyFill="1" applyBorder="1"/>
    <xf numFmtId="0" fontId="0" fillId="8" borderId="20" xfId="0" applyFill="1" applyBorder="1"/>
    <xf numFmtId="0" fontId="0" fillId="8" borderId="24" xfId="0" applyFill="1" applyBorder="1"/>
    <xf numFmtId="0" fontId="0" fillId="8" borderId="25" xfId="0" applyFill="1" applyBorder="1"/>
    <xf numFmtId="0" fontId="0" fillId="8" borderId="26" xfId="0" applyFill="1" applyBorder="1"/>
    <xf numFmtId="0" fontId="0" fillId="2" borderId="10" xfId="0" applyFont="1" applyFill="1" applyBorder="1" applyAlignment="1">
      <alignment wrapText="1"/>
    </xf>
    <xf numFmtId="0" fontId="0" fillId="2" borderId="11" xfId="0" applyFont="1" applyFill="1" applyBorder="1" applyAlignment="1">
      <alignment wrapText="1"/>
    </xf>
    <xf numFmtId="0" fontId="0" fillId="2" borderId="12" xfId="0" applyFont="1" applyFill="1" applyBorder="1" applyAlignment="1">
      <alignment wrapText="1"/>
    </xf>
    <xf numFmtId="0" fontId="0" fillId="12" borderId="0" xfId="0" applyFill="1"/>
    <xf numFmtId="0" fontId="9" fillId="9" borderId="13" xfId="0" applyFont="1" applyFill="1" applyBorder="1"/>
    <xf numFmtId="0" fontId="9" fillId="9" borderId="14" xfId="0" applyFont="1" applyFill="1" applyBorder="1"/>
    <xf numFmtId="0" fontId="9" fillId="9" borderId="15" xfId="0" applyFont="1" applyFill="1" applyBorder="1"/>
    <xf numFmtId="0" fontId="0" fillId="8" borderId="30" xfId="0" applyFill="1" applyBorder="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3" fillId="9" borderId="19" xfId="0" applyFont="1" applyFill="1" applyBorder="1"/>
    <xf numFmtId="0" fontId="3" fillId="9" borderId="0" xfId="0" applyFont="1" applyFill="1" applyBorder="1"/>
    <xf numFmtId="0" fontId="3" fillId="9" borderId="20" xfId="0" applyFont="1" applyFill="1" applyBorder="1"/>
    <xf numFmtId="0" fontId="2" fillId="5" borderId="39" xfId="0" applyFont="1" applyFill="1" applyBorder="1" applyAlignment="1">
      <alignment horizontal="center"/>
    </xf>
    <xf numFmtId="0" fontId="2" fillId="5" borderId="8" xfId="0" applyFont="1" applyFill="1" applyBorder="1" applyAlignment="1">
      <alignment horizontal="center"/>
    </xf>
    <xf numFmtId="0" fontId="15" fillId="17" borderId="47" xfId="0" applyFont="1" applyFill="1" applyBorder="1" applyAlignment="1">
      <alignment horizontal="center"/>
    </xf>
    <xf numFmtId="0" fontId="15" fillId="17" borderId="31" xfId="0" applyFont="1" applyFill="1" applyBorder="1" applyAlignment="1">
      <alignment horizontal="center"/>
    </xf>
  </cellXfs>
  <cellStyles count="2">
    <cellStyle name="Comma" xfId="1" builtinId="3"/>
    <cellStyle name="Normal" xfId="0" builtinId="0"/>
  </cellStyles>
  <dxfs count="177">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font>
        <b val="0"/>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4D4D4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7" tint="-0.499984740745262"/>
      </font>
      <fill>
        <patternFill>
          <bgColor theme="7" tint="0.59996337778862885"/>
        </patternFill>
      </fill>
    </dxf>
    <dxf>
      <font>
        <color rgb="FF9C0006"/>
      </font>
      <fill>
        <patternFill>
          <bgColor rgb="FFFFC7CE"/>
        </patternFill>
      </fill>
    </dxf>
    <dxf>
      <alignment horizontal="left" vertical="bottom" textRotation="0" wrapText="0" indent="0" justifyLastLine="0" shrinkToFit="0" readingOrder="0"/>
    </dxf>
    <dxf>
      <border outline="0">
        <top style="thin">
          <color indexed="64"/>
        </top>
      </border>
    </dxf>
    <dxf>
      <border outline="0">
        <bottom style="thin">
          <color indexed="64"/>
        </bottom>
      </border>
    </dxf>
    <dxf>
      <fill>
        <patternFill patternType="none">
          <bgColor auto="1"/>
        </patternFill>
      </fill>
      <alignment horizontal="left" vertical="bottom" textRotation="0" indent="0" justifyLastLine="0" shrinkToFit="0" readingOrder="0"/>
      <border diagonalUp="0" diagonalDown="0" outline="0">
        <left style="thin">
          <color indexed="64"/>
        </left>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5F5F5F"/>
      <color rgb="FF333333"/>
      <color rgb="FF080808"/>
      <color rgb="FFFFFF66"/>
      <color rgb="FFFFFFCC"/>
      <color rgb="FFF8F8F8"/>
      <color rgb="FFAAAAAA"/>
      <color rgb="FFC0C0C0"/>
      <color rgb="FFB2B2B2"/>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297180</xdr:colOff>
      <xdr:row>6</xdr:row>
      <xdr:rowOff>129540</xdr:rowOff>
    </xdr:from>
    <xdr:to>
      <xdr:col>1</xdr:col>
      <xdr:colOff>373380</xdr:colOff>
      <xdr:row>6</xdr:row>
      <xdr:rowOff>213360</xdr:rowOff>
    </xdr:to>
    <xdr:sp macro="" textlink="">
      <xdr:nvSpPr>
        <xdr:cNvPr id="2" name="Flowchart: Connector 1"/>
        <xdr:cNvSpPr/>
      </xdr:nvSpPr>
      <xdr:spPr>
        <a:xfrm>
          <a:off x="556260" y="14706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7</xdr:row>
      <xdr:rowOff>45720</xdr:rowOff>
    </xdr:from>
    <xdr:to>
      <xdr:col>1</xdr:col>
      <xdr:colOff>373380</xdr:colOff>
      <xdr:row>7</xdr:row>
      <xdr:rowOff>129540</xdr:rowOff>
    </xdr:to>
    <xdr:sp macro="" textlink="">
      <xdr:nvSpPr>
        <xdr:cNvPr id="3" name="Flowchart: Connector 2"/>
        <xdr:cNvSpPr/>
      </xdr:nvSpPr>
      <xdr:spPr>
        <a:xfrm>
          <a:off x="556260" y="175260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8</xdr:row>
      <xdr:rowOff>38100</xdr:rowOff>
    </xdr:from>
    <xdr:to>
      <xdr:col>1</xdr:col>
      <xdr:colOff>373380</xdr:colOff>
      <xdr:row>8</xdr:row>
      <xdr:rowOff>121920</xdr:rowOff>
    </xdr:to>
    <xdr:sp macro="" textlink="">
      <xdr:nvSpPr>
        <xdr:cNvPr id="4" name="Flowchart: Connector 3"/>
        <xdr:cNvSpPr/>
      </xdr:nvSpPr>
      <xdr:spPr>
        <a:xfrm>
          <a:off x="556260" y="19278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304800</xdr:colOff>
      <xdr:row>5</xdr:row>
      <xdr:rowOff>53340</xdr:rowOff>
    </xdr:from>
    <xdr:to>
      <xdr:col>1</xdr:col>
      <xdr:colOff>381000</xdr:colOff>
      <xdr:row>5</xdr:row>
      <xdr:rowOff>137160</xdr:rowOff>
    </xdr:to>
    <xdr:sp macro="" textlink="">
      <xdr:nvSpPr>
        <xdr:cNvPr id="5" name="Flowchart: Connector 4"/>
        <xdr:cNvSpPr/>
      </xdr:nvSpPr>
      <xdr:spPr>
        <a:xfrm>
          <a:off x="563880" y="121158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1" name="SettingsTable" displayName="SettingsTable" ref="A1:C10" totalsRowShown="0" headerRowDxfId="176" dataDxfId="174" headerRowBorderDxfId="175" tableBorderDxfId="173" totalsRowBorderDxfId="172">
  <autoFilter ref="A1:C10">
    <filterColumn colId="0" hiddenButton="1"/>
    <filterColumn colId="1" hiddenButton="1"/>
    <filterColumn colId="2" hiddenButton="1"/>
  </autoFilter>
  <tableColumns count="3">
    <tableColumn id="2" name="Group" dataDxfId="171"/>
    <tableColumn id="3" name="Option" dataDxfId="170"/>
    <tableColumn id="4" name="Setting" dataDxfId="169"/>
  </tableColumns>
  <tableStyleInfo name="TableStyleMedium1" showFirstColumn="0" showLastColumn="0" showRowStripes="1" showColumnStripes="0"/>
</table>
</file>

<file path=xl/tables/table2.xml><?xml version="1.0" encoding="utf-8"?>
<table xmlns="http://schemas.openxmlformats.org/spreadsheetml/2006/main" id="2" name="Table15" displayName="Table15" ref="A12:C24" totalsRowShown="0" headerRowBorderDxfId="168" tableBorderDxfId="167">
  <autoFilter ref="A12:C24">
    <filterColumn colId="0" hiddenButton="1"/>
    <filterColumn colId="1" hiddenButton="1"/>
    <filterColumn colId="2" hiddenButton="1"/>
  </autoFilter>
  <tableColumns count="3">
    <tableColumn id="1" name="Group"/>
    <tableColumn id="2" name="Option"/>
    <tableColumn id="3" name="Setting" dataDxfId="166"/>
  </tableColumns>
  <tableStyleInfo name="TableStyleMedium15" showFirstColumn="0" showLastColumn="0" showRowStripes="1" showColumnStripes="0"/>
</table>
</file>

<file path=xl/tables/table3.xml><?xml version="1.0" encoding="utf-8"?>
<table xmlns="http://schemas.openxmlformats.org/spreadsheetml/2006/main" id="3" name="OverviewTable" displayName="OverviewTable" ref="A1:N51" totalsRowShown="0" headerRowDxfId="159" dataDxfId="157" totalsRowDxfId="155" headerRowBorderDxfId="158" tableBorderDxfId="156" totalsRowBorderDxfId="154">
  <autoFilter ref="A1:N51"/>
  <sortState ref="A2:N51">
    <sortCondition ref="A1:A51"/>
  </sortState>
  <tableColumns count="14">
    <tableColumn id="1" name="Guild Member" dataDxfId="153" totalsRowDxfId="152"/>
    <tableColumn id="2" name="Ally Code" dataDxfId="151" totalsRowDxfId="150"/>
    <tableColumn id="3" name="Total Territory Points" dataDxfId="149" totalsRowDxfId="148" dataCellStyle="Comma"/>
    <tableColumn id="14" name="Max Available GP to Deploy" dataDxfId="147" totalsRowDxfId="146" dataCellStyle="Comma"/>
    <tableColumn id="13" name="Actual GP Deployed" dataDxfId="145" totalsRowDxfId="144" dataCellStyle="Comma"/>
    <tableColumn id="4" name="Platoons" dataDxfId="143" totalsRowDxfId="142"/>
    <tableColumn id="5" name="Platoons Assigned" dataDxfId="141" totalsRowDxfId="140"/>
    <tableColumn id="6" name="Combat Waves Completed" dataDxfId="139" totalsRowDxfId="138"/>
    <tableColumn id="7" name="Combat Mssion Points" dataDxfId="137" totalsRowDxfId="136" dataCellStyle="Comma"/>
    <tableColumn id="8" name="Special Missions" dataDxfId="135" totalsRowDxfId="134"/>
    <tableColumn id="9" name="Special Mission Success" dataDxfId="133" totalsRowDxfId="132"/>
    <tableColumn id="10" name="Rogue Actions" dataDxfId="131" totalsRowDxfId="130"/>
    <tableColumn id="11" name="Exclusive Unit Mission Attempt" dataDxfId="129" totalsRowDxfId="128"/>
    <tableColumn id="12" name="Exclusive Unit Mission Success" dataDxfId="127" totalsRowDxfId="126"/>
  </tableColumns>
  <tableStyleInfo name="TableStyleMedium2" showFirstColumn="0" showLastColumn="0" showRowStripes="1" showColumnStripes="0"/>
</table>
</file>

<file path=xl/tables/table4.xml><?xml version="1.0" encoding="utf-8"?>
<table xmlns="http://schemas.openxmlformats.org/spreadsheetml/2006/main" id="4" name="Phase1_Table" displayName="Phase1_Table" ref="A1:O51" totalsRowShown="0" headerRowDxfId="124" dataDxfId="122" headerRowBorderDxfId="123" tableBorderDxfId="121" totalsRowBorderDxfId="120">
  <autoFilter ref="A1:O51"/>
  <sortState ref="A2:O51">
    <sortCondition ref="A1:A51"/>
  </sortState>
  <tableColumns count="15">
    <tableColumn id="1" name="Guild Member" dataDxfId="119"/>
    <tableColumn id="2" name="Ally Code" dataDxfId="118"/>
    <tableColumn id="13" name="Character GP" dataDxfId="117"/>
    <tableColumn id="12" name="Ship GP" dataDxfId="116"/>
    <tableColumn id="3" name="Territory Points" dataDxfId="115"/>
    <tableColumn id="14" name="Available GP" dataDxfId="114"/>
    <tableColumn id="4" name="GP Deployed" dataDxfId="113"/>
    <tableColumn id="9" name="Combat Missions Attempted" dataDxfId="112"/>
    <tableColumn id="5" name="Combat Waves Completed" dataDxfId="111"/>
    <tableColumn id="6" name="CM Points" dataDxfId="110"/>
    <tableColumn id="7" name="Special Missions Attempted" dataDxfId="109"/>
    <tableColumn id="10" name="SM Success" dataDxfId="108"/>
    <tableColumn id="8" name="Platoons Donated" dataDxfId="107"/>
    <tableColumn id="15" name="Platoons Assigned" dataDxfId="106"/>
    <tableColumn id="11" name="Rogue Action" dataDxfId="105"/>
  </tableColumns>
  <tableStyleInfo name="TableStyleMedium15" showFirstColumn="0" showLastColumn="0" showRowStripes="1" showColumnStripes="0"/>
</table>
</file>

<file path=xl/tables/table5.xml><?xml version="1.0" encoding="utf-8"?>
<table xmlns="http://schemas.openxmlformats.org/spreadsheetml/2006/main" id="5" name="Phase2_Table" displayName="Phase2_Table" ref="A1:O51" totalsRowShown="0" headerRowDxfId="103" dataDxfId="101" headerRowBorderDxfId="102" tableBorderDxfId="100" totalsRowBorderDxfId="99">
  <autoFilter ref="A1:O51"/>
  <sortState ref="A2:H51">
    <sortCondition ref="A1:A51"/>
  </sortState>
  <tableColumns count="15">
    <tableColumn id="1" name="Guild Member" dataDxfId="98"/>
    <tableColumn id="2" name="Ally Code" dataDxfId="97"/>
    <tableColumn id="13" name="Character GP" dataDxfId="96"/>
    <tableColumn id="12" name="Ship GP" dataDxfId="95"/>
    <tableColumn id="3" name="Territory Points" dataDxfId="94"/>
    <tableColumn id="14" name="Available GP" dataDxfId="93"/>
    <tableColumn id="4" name="GP Deployed" dataDxfId="92"/>
    <tableColumn id="9" name="Combat Missions Attempted" dataDxfId="91"/>
    <tableColumn id="5" name="Combat Waves Completed" dataDxfId="90"/>
    <tableColumn id="6" name="CM Points" dataDxfId="89"/>
    <tableColumn id="7" name="Special Missions Attempted" dataDxfId="88"/>
    <tableColumn id="10" name="SM Success" dataDxfId="87"/>
    <tableColumn id="8" name="Platoons Donated" dataDxfId="86"/>
    <tableColumn id="15" name="Platoons Assigned" dataDxfId="85"/>
    <tableColumn id="11" name="Rogue Action" dataDxfId="84"/>
  </tableColumns>
  <tableStyleInfo name="TableStyleMedium15" showFirstColumn="0" showLastColumn="0" showRowStripes="1" showColumnStripes="0"/>
</table>
</file>

<file path=xl/tables/table6.xml><?xml version="1.0" encoding="utf-8"?>
<table xmlns="http://schemas.openxmlformats.org/spreadsheetml/2006/main" id="6" name="Phase3_Table" displayName="Phase3_Table" ref="A1:O51" totalsRowShown="0" headerRowDxfId="82" dataDxfId="80" headerRowBorderDxfId="81" tableBorderDxfId="79" totalsRowBorderDxfId="78">
  <autoFilter ref="A1:O51"/>
  <sortState ref="A2:H51">
    <sortCondition ref="A1:A51"/>
  </sortState>
  <tableColumns count="15">
    <tableColumn id="1" name="Guild Member" dataDxfId="77"/>
    <tableColumn id="2" name="Ally Code" dataDxfId="76"/>
    <tableColumn id="13" name="Character GP" dataDxfId="75"/>
    <tableColumn id="12" name="Ship GP" dataDxfId="74"/>
    <tableColumn id="3" name="Territory Points" dataDxfId="73"/>
    <tableColumn id="14" name="Available GP" dataDxfId="72"/>
    <tableColumn id="4" name="GP Deployed" dataDxfId="71"/>
    <tableColumn id="9" name="Combat Missions Attempted" dataDxfId="70"/>
    <tableColumn id="5" name="Combat Waves Completed" dataDxfId="69"/>
    <tableColumn id="6" name="CM Points" dataDxfId="68"/>
    <tableColumn id="7" name="Special Missions Attempted" dataDxfId="67"/>
    <tableColumn id="10" name="SM Success" dataDxfId="66"/>
    <tableColumn id="8" name="Platoons Donated" dataDxfId="65"/>
    <tableColumn id="15" name="Platoons Assigned" dataDxfId="64"/>
    <tableColumn id="11" name="Rogue Action" dataDxfId="63"/>
  </tableColumns>
  <tableStyleInfo name="TableStyleMedium15" showFirstColumn="0" showLastColumn="0" showRowStripes="1" showColumnStripes="0"/>
</table>
</file>

<file path=xl/tables/table7.xml><?xml version="1.0" encoding="utf-8"?>
<table xmlns="http://schemas.openxmlformats.org/spreadsheetml/2006/main" id="7" name="Phase4_Table" displayName="Phase4_Table" ref="A1:O51" totalsRowShown="0" headerRowDxfId="61" dataDxfId="59" headerRowBorderDxfId="60" tableBorderDxfId="58" totalsRowBorderDxfId="57">
  <autoFilter ref="A1:O51"/>
  <sortState ref="A2:H51">
    <sortCondition ref="A1:A51"/>
  </sortState>
  <tableColumns count="15">
    <tableColumn id="1" name="Guild Member" dataDxfId="56"/>
    <tableColumn id="2" name="Ally Code" dataDxfId="55"/>
    <tableColumn id="13" name="Character GP" dataDxfId="54"/>
    <tableColumn id="12" name="Ship GP" dataDxfId="53"/>
    <tableColumn id="3" name="Territory Points" dataDxfId="52"/>
    <tableColumn id="14" name="Available GP" dataDxfId="51"/>
    <tableColumn id="4" name="GP Deployed" dataDxfId="50"/>
    <tableColumn id="9" name="Combat Missions Attempted" dataDxfId="49"/>
    <tableColumn id="5" name="Combat Waves Completed" dataDxfId="48"/>
    <tableColumn id="6" name="CM Points" dataDxfId="47"/>
    <tableColumn id="7" name="Special Missions Attempted" dataDxfId="46"/>
    <tableColumn id="10" name="SM Success" dataDxfId="45"/>
    <tableColumn id="8" name="Platoons Donated" dataDxfId="44"/>
    <tableColumn id="15" name="Platoons Assigned" dataDxfId="43"/>
    <tableColumn id="11" name="Rogue Action" dataDxfId="42"/>
  </tableColumns>
  <tableStyleInfo name="TableStyleMedium15" showFirstColumn="0" showLastColumn="0" showRowStripes="1" showColumnStripes="0"/>
</table>
</file>

<file path=xl/tables/table8.xml><?xml version="1.0" encoding="utf-8"?>
<table xmlns="http://schemas.openxmlformats.org/spreadsheetml/2006/main" id="8" name="Phase5_Table" displayName="Phase5_Table" ref="A1:O51" totalsRowShown="0" headerRowDxfId="40" dataDxfId="38" headerRowBorderDxfId="39" tableBorderDxfId="37" totalsRowBorderDxfId="36">
  <autoFilter ref="A1:O51"/>
  <sortState ref="A2:H51">
    <sortCondition ref="A1:A51"/>
  </sortState>
  <tableColumns count="15">
    <tableColumn id="1" name="Guild Member" dataDxfId="35"/>
    <tableColumn id="2" name="Ally Code" dataDxfId="34"/>
    <tableColumn id="13" name="Character GP" dataDxfId="33"/>
    <tableColumn id="12" name="Ship GP" dataDxfId="32"/>
    <tableColumn id="3" name="Territory Points" dataDxfId="31"/>
    <tableColumn id="14" name="Available GP" dataDxfId="30"/>
    <tableColumn id="4" name="GP Deployed" dataDxfId="29"/>
    <tableColumn id="9" name="Combat Missions Attempted" dataDxfId="28"/>
    <tableColumn id="5" name="Combat Waves Completed" dataDxfId="27"/>
    <tableColumn id="6" name="CM Points" dataDxfId="26"/>
    <tableColumn id="7" name="Special Missions Attempted" dataDxfId="25"/>
    <tableColumn id="10" name="SM Success" dataDxfId="24"/>
    <tableColumn id="8" name="Platoons Donated" dataDxfId="23"/>
    <tableColumn id="15" name="Platoons Assigned" dataDxfId="22"/>
    <tableColumn id="11" name="Rogue Action" dataDxfId="21"/>
  </tableColumns>
  <tableStyleInfo name="TableStyleMedium15" showFirstColumn="0" showLastColumn="0" showRowStripes="1" showColumnStripes="0"/>
</table>
</file>

<file path=xl/tables/table9.xml><?xml version="1.0" encoding="utf-8"?>
<table xmlns="http://schemas.openxmlformats.org/spreadsheetml/2006/main" id="9" name="Phase6_Table" displayName="Phase6_Table" ref="A1:O51" totalsRowShown="0" headerRowDxfId="19" dataDxfId="17" headerRowBorderDxfId="18" tableBorderDxfId="16" totalsRowBorderDxfId="15">
  <autoFilter ref="A1:O51"/>
  <sortState ref="A2:H51">
    <sortCondition ref="A1:A51"/>
  </sortState>
  <tableColumns count="15">
    <tableColumn id="1" name="Guild Member" dataDxfId="14"/>
    <tableColumn id="2" name="Ally Code" dataDxfId="13"/>
    <tableColumn id="13" name="Character GP" dataDxfId="12"/>
    <tableColumn id="12" name="Ship GP" dataDxfId="11"/>
    <tableColumn id="3" name="Territory Points" dataDxfId="10"/>
    <tableColumn id="14" name="Available GP" dataDxfId="9"/>
    <tableColumn id="4" name="GP Deployed" dataDxfId="8"/>
    <tableColumn id="9" name="Combat Missions Attempted" dataDxfId="7"/>
    <tableColumn id="5" name="Combat Waves Completed" dataDxfId="6"/>
    <tableColumn id="6" name="CM Points" dataDxfId="5"/>
    <tableColumn id="7" name="Special Missions Attempted" dataDxfId="4"/>
    <tableColumn id="10" name="SM Success" dataDxfId="3"/>
    <tableColumn id="8" name="Platoons Donated" dataDxfId="2"/>
    <tableColumn id="15" name="Platoons Assigned" dataDxfId="1"/>
    <tableColumn id="11" name="Rogue Action"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V35"/>
  <sheetViews>
    <sheetView workbookViewId="0">
      <selection activeCell="B24" sqref="B24:L24"/>
    </sheetView>
  </sheetViews>
  <sheetFormatPr defaultRowHeight="14.4" x14ac:dyDescent="0.3"/>
  <cols>
    <col min="1" max="1" width="3.77734375" customWidth="1"/>
    <col min="12" max="12" width="27.33203125" customWidth="1"/>
  </cols>
  <sheetData>
    <row r="1" spans="1:22" ht="25.8" x14ac:dyDescent="0.5">
      <c r="A1" s="42"/>
      <c r="B1" s="43" t="s">
        <v>0</v>
      </c>
      <c r="C1" s="44"/>
      <c r="D1" s="44"/>
      <c r="E1" s="44"/>
      <c r="F1" s="44"/>
      <c r="G1" s="44"/>
      <c r="H1" s="42"/>
      <c r="I1" s="42"/>
      <c r="J1" s="42"/>
      <c r="K1" s="42"/>
      <c r="L1" s="42"/>
      <c r="M1" s="42"/>
      <c r="N1" s="42"/>
      <c r="O1" s="42"/>
      <c r="P1" s="42"/>
      <c r="Q1" s="42"/>
      <c r="R1" s="42"/>
      <c r="S1" s="42"/>
      <c r="T1" s="42"/>
      <c r="U1" s="42"/>
      <c r="V1" s="42"/>
    </row>
    <row r="2" spans="1:22" x14ac:dyDescent="0.3">
      <c r="A2" s="42"/>
      <c r="B2" s="103" t="s">
        <v>1</v>
      </c>
      <c r="C2" s="103"/>
      <c r="D2" s="103"/>
      <c r="E2" s="103"/>
      <c r="F2" s="103"/>
      <c r="G2" s="103"/>
      <c r="H2" s="42"/>
      <c r="I2" s="42"/>
      <c r="J2" s="42"/>
      <c r="K2" s="42"/>
      <c r="L2" s="42"/>
      <c r="M2" s="42"/>
      <c r="N2" s="42"/>
      <c r="O2" s="42"/>
      <c r="P2" s="42"/>
      <c r="Q2" s="42"/>
      <c r="R2" s="42"/>
      <c r="S2" s="42"/>
      <c r="T2" s="42"/>
      <c r="U2" s="42"/>
      <c r="V2" s="42"/>
    </row>
    <row r="3" spans="1:22" ht="15" thickBot="1" x14ac:dyDescent="0.35">
      <c r="A3" s="42"/>
      <c r="B3" s="45"/>
      <c r="C3" s="45"/>
      <c r="D3" s="45"/>
      <c r="E3" s="45"/>
      <c r="F3" s="45"/>
      <c r="G3" s="45"/>
      <c r="H3" s="42"/>
      <c r="I3" s="42"/>
      <c r="J3" s="42"/>
      <c r="K3" s="42"/>
      <c r="L3" s="42"/>
      <c r="M3" s="42"/>
      <c r="N3" s="42"/>
      <c r="O3" s="42"/>
      <c r="P3" s="42"/>
      <c r="Q3" s="42"/>
      <c r="R3" s="42"/>
      <c r="S3" s="42"/>
      <c r="T3" s="42"/>
      <c r="U3" s="42"/>
      <c r="V3" s="42"/>
    </row>
    <row r="4" spans="1:22" ht="19.2" thickTop="1" thickBot="1" x14ac:dyDescent="0.4">
      <c r="A4" s="42"/>
      <c r="B4" s="104" t="s">
        <v>2</v>
      </c>
      <c r="C4" s="105"/>
      <c r="D4" s="105"/>
      <c r="E4" s="105"/>
      <c r="F4" s="105"/>
      <c r="G4" s="105"/>
      <c r="H4" s="105"/>
      <c r="I4" s="105"/>
      <c r="J4" s="105"/>
      <c r="K4" s="105"/>
      <c r="L4" s="106"/>
      <c r="M4" s="42"/>
      <c r="N4" s="42"/>
      <c r="O4" s="42"/>
      <c r="P4" s="42"/>
      <c r="Q4" s="42"/>
      <c r="R4" s="42"/>
      <c r="S4" s="42"/>
      <c r="T4" s="42"/>
      <c r="U4" s="42"/>
      <c r="V4" s="42"/>
    </row>
    <row r="5" spans="1:22" ht="16.8" customHeight="1" x14ac:dyDescent="0.3">
      <c r="A5" s="42"/>
      <c r="B5" s="107" t="s">
        <v>3</v>
      </c>
      <c r="C5" s="108"/>
      <c r="D5" s="108"/>
      <c r="E5" s="108"/>
      <c r="F5" s="108"/>
      <c r="G5" s="108"/>
      <c r="H5" s="108"/>
      <c r="I5" s="108"/>
      <c r="J5" s="108"/>
      <c r="K5" s="108"/>
      <c r="L5" s="109"/>
      <c r="M5" s="42"/>
      <c r="N5" s="42"/>
      <c r="O5" s="42"/>
      <c r="P5" s="42"/>
      <c r="Q5" s="42"/>
      <c r="R5" s="42"/>
      <c r="S5" s="42"/>
      <c r="T5" s="42"/>
      <c r="U5" s="42"/>
      <c r="V5" s="42"/>
    </row>
    <row r="6" spans="1:22" x14ac:dyDescent="0.3">
      <c r="A6" s="42"/>
      <c r="B6" s="38"/>
      <c r="C6" s="110" t="s">
        <v>4</v>
      </c>
      <c r="D6" s="110"/>
      <c r="E6" s="110"/>
      <c r="F6" s="110"/>
      <c r="G6" s="110"/>
      <c r="H6" s="110"/>
      <c r="I6" s="110"/>
      <c r="J6" s="110"/>
      <c r="K6" s="110"/>
      <c r="L6" s="111"/>
      <c r="M6" s="42"/>
      <c r="N6" s="42"/>
      <c r="O6" s="42"/>
      <c r="P6" s="42"/>
      <c r="Q6" s="42"/>
      <c r="R6" s="42"/>
      <c r="S6" s="42"/>
      <c r="T6" s="42"/>
      <c r="U6" s="42"/>
      <c r="V6" s="42"/>
    </row>
    <row r="7" spans="1:22" ht="28.8" customHeight="1" x14ac:dyDescent="0.3">
      <c r="A7" s="42"/>
      <c r="B7" s="39"/>
      <c r="C7" s="112" t="s">
        <v>5</v>
      </c>
      <c r="D7" s="112"/>
      <c r="E7" s="112"/>
      <c r="F7" s="112"/>
      <c r="G7" s="112"/>
      <c r="H7" s="112"/>
      <c r="I7" s="112"/>
      <c r="J7" s="112"/>
      <c r="K7" s="112"/>
      <c r="L7" s="113"/>
      <c r="M7" s="42"/>
      <c r="N7" s="42"/>
      <c r="O7" s="42"/>
      <c r="P7" s="42"/>
      <c r="Q7" s="42"/>
      <c r="R7" s="42"/>
      <c r="S7" s="42"/>
      <c r="T7" s="42"/>
      <c r="U7" s="42"/>
      <c r="V7" s="42"/>
    </row>
    <row r="8" spans="1:22" x14ac:dyDescent="0.3">
      <c r="A8" s="42"/>
      <c r="B8" s="40"/>
      <c r="C8" s="110" t="s">
        <v>6</v>
      </c>
      <c r="D8" s="110"/>
      <c r="E8" s="110"/>
      <c r="F8" s="110"/>
      <c r="G8" s="110"/>
      <c r="H8" s="110"/>
      <c r="I8" s="110"/>
      <c r="J8" s="110"/>
      <c r="K8" s="110"/>
      <c r="L8" s="111"/>
      <c r="M8" s="42"/>
      <c r="N8" s="42"/>
      <c r="O8" s="42"/>
      <c r="P8" s="42"/>
      <c r="Q8" s="42"/>
      <c r="R8" s="42"/>
      <c r="S8" s="42"/>
      <c r="T8" s="42"/>
      <c r="U8" s="42"/>
      <c r="V8" s="42"/>
    </row>
    <row r="9" spans="1:22" x14ac:dyDescent="0.3">
      <c r="A9" s="42"/>
      <c r="B9" s="41"/>
      <c r="C9" s="114" t="s">
        <v>7</v>
      </c>
      <c r="D9" s="114"/>
      <c r="E9" s="114"/>
      <c r="F9" s="114"/>
      <c r="G9" s="114"/>
      <c r="H9" s="114"/>
      <c r="I9" s="114"/>
      <c r="J9" s="114"/>
      <c r="K9" s="114"/>
      <c r="L9" s="115"/>
      <c r="M9" s="42"/>
      <c r="N9" s="42"/>
      <c r="O9" s="42"/>
      <c r="P9" s="42"/>
      <c r="Q9" s="42"/>
      <c r="R9" s="42"/>
      <c r="S9" s="42"/>
      <c r="T9" s="42"/>
      <c r="U9" s="42"/>
      <c r="V9" s="42"/>
    </row>
    <row r="10" spans="1:22" ht="28.8" customHeight="1" thickBot="1" x14ac:dyDescent="0.35">
      <c r="A10" s="42"/>
      <c r="B10" s="116" t="s">
        <v>97</v>
      </c>
      <c r="C10" s="117"/>
      <c r="D10" s="117"/>
      <c r="E10" s="117"/>
      <c r="F10" s="117"/>
      <c r="G10" s="117"/>
      <c r="H10" s="117"/>
      <c r="I10" s="117"/>
      <c r="J10" s="117"/>
      <c r="K10" s="117"/>
      <c r="L10" s="118"/>
      <c r="M10" s="42"/>
      <c r="N10" s="42"/>
      <c r="O10" s="42"/>
      <c r="P10" s="42"/>
      <c r="Q10" s="42"/>
      <c r="R10" s="42"/>
      <c r="S10" s="42"/>
      <c r="T10" s="42"/>
      <c r="U10" s="42"/>
      <c r="V10" s="42"/>
    </row>
    <row r="11" spans="1:22" ht="15.6" thickTop="1" thickBot="1" x14ac:dyDescent="0.35">
      <c r="A11" s="42"/>
      <c r="B11" s="42"/>
      <c r="C11" s="42"/>
      <c r="D11" s="42"/>
      <c r="E11" s="42"/>
      <c r="F11" s="42"/>
      <c r="G11" s="42"/>
      <c r="H11" s="42"/>
      <c r="I11" s="42"/>
      <c r="J11" s="42"/>
      <c r="K11" s="42"/>
      <c r="L11" s="42"/>
      <c r="M11" s="42"/>
      <c r="N11" s="42"/>
      <c r="O11" s="42"/>
      <c r="P11" s="42"/>
      <c r="Q11" s="42"/>
      <c r="R11" s="42"/>
      <c r="S11" s="42"/>
      <c r="T11" s="42"/>
      <c r="U11" s="42"/>
      <c r="V11" s="42"/>
    </row>
    <row r="12" spans="1:22" ht="19.2" thickTop="1" thickBot="1" x14ac:dyDescent="0.4">
      <c r="A12" s="42"/>
      <c r="B12" s="119" t="s">
        <v>8</v>
      </c>
      <c r="C12" s="120"/>
      <c r="D12" s="120"/>
      <c r="E12" s="120"/>
      <c r="F12" s="120"/>
      <c r="G12" s="120"/>
      <c r="H12" s="120"/>
      <c r="I12" s="120"/>
      <c r="J12" s="120"/>
      <c r="K12" s="120"/>
      <c r="L12" s="121"/>
      <c r="M12" s="42"/>
      <c r="N12" s="42"/>
      <c r="O12" s="42"/>
      <c r="P12" s="42"/>
      <c r="Q12" s="42"/>
      <c r="R12" s="42"/>
      <c r="S12" s="42"/>
      <c r="T12" s="42"/>
      <c r="U12" s="42"/>
      <c r="V12" s="42"/>
    </row>
    <row r="13" spans="1:22" s="1" customFormat="1" ht="14.4" customHeight="1" x14ac:dyDescent="0.3">
      <c r="A13" s="46"/>
      <c r="B13" s="122" t="s">
        <v>9</v>
      </c>
      <c r="C13" s="123"/>
      <c r="D13" s="123"/>
      <c r="E13" s="123"/>
      <c r="F13" s="123"/>
      <c r="G13" s="123"/>
      <c r="H13" s="123"/>
      <c r="I13" s="123"/>
      <c r="J13" s="123"/>
      <c r="K13" s="123"/>
      <c r="L13" s="124"/>
      <c r="M13" s="46"/>
      <c r="N13" s="46"/>
      <c r="O13" s="46"/>
      <c r="P13" s="46"/>
      <c r="Q13" s="46"/>
      <c r="R13" s="46"/>
      <c r="S13" s="46"/>
      <c r="T13" s="46"/>
      <c r="U13" s="46"/>
      <c r="V13" s="46"/>
    </row>
    <row r="14" spans="1:22" s="1" customFormat="1" ht="14.4" customHeight="1" x14ac:dyDescent="0.3">
      <c r="A14" s="46"/>
      <c r="B14" s="125" t="s">
        <v>10</v>
      </c>
      <c r="C14" s="126"/>
      <c r="D14" s="126"/>
      <c r="E14" s="126"/>
      <c r="F14" s="126"/>
      <c r="G14" s="126"/>
      <c r="H14" s="126"/>
      <c r="I14" s="126"/>
      <c r="J14" s="126"/>
      <c r="K14" s="126"/>
      <c r="L14" s="127"/>
      <c r="M14" s="46"/>
      <c r="N14" s="46"/>
      <c r="O14" s="46"/>
      <c r="P14" s="46"/>
      <c r="Q14" s="46"/>
      <c r="R14" s="46"/>
      <c r="S14" s="46"/>
      <c r="T14" s="46"/>
      <c r="U14" s="46"/>
      <c r="V14" s="46"/>
    </row>
    <row r="15" spans="1:22" s="1" customFormat="1" ht="14.4" customHeight="1" x14ac:dyDescent="0.3">
      <c r="A15" s="46"/>
      <c r="B15" s="100" t="s">
        <v>11</v>
      </c>
      <c r="C15" s="101"/>
      <c r="D15" s="101"/>
      <c r="E15" s="101"/>
      <c r="F15" s="101"/>
      <c r="G15" s="101"/>
      <c r="H15" s="101"/>
      <c r="I15" s="101"/>
      <c r="J15" s="101"/>
      <c r="K15" s="101"/>
      <c r="L15" s="102"/>
      <c r="M15" s="46"/>
      <c r="N15" s="46"/>
      <c r="O15" s="46"/>
      <c r="P15" s="46"/>
      <c r="Q15" s="46"/>
      <c r="R15" s="46"/>
      <c r="S15" s="46"/>
      <c r="T15" s="46"/>
      <c r="U15" s="46"/>
      <c r="V15" s="46"/>
    </row>
    <row r="16" spans="1:22" s="1" customFormat="1" ht="14.4" customHeight="1" x14ac:dyDescent="0.3">
      <c r="A16" s="46"/>
      <c r="B16" s="131" t="s">
        <v>98</v>
      </c>
      <c r="C16" s="132"/>
      <c r="D16" s="132"/>
      <c r="E16" s="132"/>
      <c r="F16" s="132"/>
      <c r="G16" s="132"/>
      <c r="H16" s="132"/>
      <c r="I16" s="132"/>
      <c r="J16" s="132"/>
      <c r="K16" s="132"/>
      <c r="L16" s="133"/>
      <c r="M16" s="46"/>
      <c r="N16" s="46"/>
      <c r="O16" s="46"/>
      <c r="P16" s="46"/>
      <c r="Q16" s="46"/>
      <c r="R16" s="46"/>
      <c r="S16" s="46"/>
      <c r="T16" s="46"/>
      <c r="U16" s="46"/>
      <c r="V16" s="46"/>
    </row>
    <row r="17" spans="1:22" s="1" customFormat="1" ht="14.4" customHeight="1" x14ac:dyDescent="0.3">
      <c r="A17" s="46"/>
      <c r="B17" s="134" t="s">
        <v>12</v>
      </c>
      <c r="C17" s="135"/>
      <c r="D17" s="135"/>
      <c r="E17" s="135"/>
      <c r="F17" s="135"/>
      <c r="G17" s="135"/>
      <c r="H17" s="135"/>
      <c r="I17" s="135"/>
      <c r="J17" s="135"/>
      <c r="K17" s="135"/>
      <c r="L17" s="136"/>
      <c r="M17" s="46"/>
      <c r="N17" s="46"/>
      <c r="O17" s="46"/>
      <c r="P17" s="46"/>
      <c r="Q17" s="46"/>
      <c r="R17" s="46"/>
      <c r="S17" s="46"/>
      <c r="T17" s="46"/>
      <c r="U17" s="46"/>
      <c r="V17" s="46"/>
    </row>
    <row r="18" spans="1:22" s="1" customFormat="1" ht="14.4" customHeight="1" x14ac:dyDescent="0.3">
      <c r="A18" s="46"/>
      <c r="B18" s="131" t="s">
        <v>13</v>
      </c>
      <c r="C18" s="132"/>
      <c r="D18" s="132"/>
      <c r="E18" s="132"/>
      <c r="F18" s="132"/>
      <c r="G18" s="132"/>
      <c r="H18" s="132"/>
      <c r="I18" s="132"/>
      <c r="J18" s="132"/>
      <c r="K18" s="132"/>
      <c r="L18" s="133"/>
      <c r="M18" s="46"/>
      <c r="N18" s="46"/>
      <c r="O18" s="46"/>
      <c r="P18" s="46"/>
      <c r="Q18" s="46"/>
      <c r="R18" s="46"/>
      <c r="S18" s="46"/>
      <c r="T18" s="46"/>
      <c r="U18" s="46"/>
      <c r="V18" s="46"/>
    </row>
    <row r="19" spans="1:22" s="1" customFormat="1" ht="14.4" customHeight="1" x14ac:dyDescent="0.3">
      <c r="A19" s="46"/>
      <c r="B19" s="137" t="s">
        <v>14</v>
      </c>
      <c r="C19" s="138"/>
      <c r="D19" s="138"/>
      <c r="E19" s="138"/>
      <c r="F19" s="138"/>
      <c r="G19" s="138"/>
      <c r="H19" s="138"/>
      <c r="I19" s="138"/>
      <c r="J19" s="138"/>
      <c r="K19" s="138"/>
      <c r="L19" s="139"/>
      <c r="M19" s="46"/>
      <c r="N19" s="46"/>
      <c r="O19" s="46"/>
      <c r="P19" s="46"/>
      <c r="Q19" s="46"/>
      <c r="R19" s="46"/>
      <c r="S19" s="46"/>
      <c r="T19" s="46"/>
      <c r="U19" s="46"/>
      <c r="V19" s="46"/>
    </row>
    <row r="20" spans="1:22" s="1" customFormat="1" ht="14.4" customHeight="1" x14ac:dyDescent="0.3">
      <c r="A20" s="46"/>
      <c r="B20" s="140" t="s">
        <v>15</v>
      </c>
      <c r="C20" s="141"/>
      <c r="D20" s="141"/>
      <c r="E20" s="141"/>
      <c r="F20" s="141"/>
      <c r="G20" s="141"/>
      <c r="H20" s="141"/>
      <c r="I20" s="141"/>
      <c r="J20" s="141"/>
      <c r="K20" s="141"/>
      <c r="L20" s="142"/>
      <c r="M20" s="46"/>
      <c r="N20" s="46"/>
      <c r="O20" s="46"/>
      <c r="P20" s="46"/>
      <c r="Q20" s="46"/>
      <c r="R20" s="46"/>
      <c r="S20" s="46"/>
      <c r="T20" s="46"/>
      <c r="U20" s="46"/>
      <c r="V20" s="46"/>
    </row>
    <row r="21" spans="1:22" s="1" customFormat="1" ht="14.4" customHeight="1" x14ac:dyDescent="0.3">
      <c r="A21" s="46"/>
      <c r="B21" s="143" t="s">
        <v>16</v>
      </c>
      <c r="C21" s="144"/>
      <c r="D21" s="144"/>
      <c r="E21" s="144"/>
      <c r="F21" s="144"/>
      <c r="G21" s="144"/>
      <c r="H21" s="144"/>
      <c r="I21" s="144"/>
      <c r="J21" s="144"/>
      <c r="K21" s="144"/>
      <c r="L21" s="145"/>
      <c r="M21" s="46"/>
      <c r="N21" s="46"/>
      <c r="O21" s="46"/>
      <c r="P21" s="46"/>
      <c r="Q21" s="46"/>
      <c r="R21" s="46"/>
      <c r="S21" s="46"/>
      <c r="T21" s="46"/>
      <c r="U21" s="46"/>
      <c r="V21" s="46"/>
    </row>
    <row r="22" spans="1:22" ht="18.600000000000001" thickBot="1" x14ac:dyDescent="0.4">
      <c r="A22" s="42"/>
      <c r="B22" s="146" t="s">
        <v>17</v>
      </c>
      <c r="C22" s="147"/>
      <c r="D22" s="147"/>
      <c r="E22" s="147"/>
      <c r="F22" s="147"/>
      <c r="G22" s="147"/>
      <c r="H22" s="147"/>
      <c r="I22" s="147"/>
      <c r="J22" s="147"/>
      <c r="K22" s="147"/>
      <c r="L22" s="148"/>
      <c r="M22" s="42"/>
      <c r="N22" s="42"/>
      <c r="O22" s="42"/>
      <c r="P22" s="42"/>
      <c r="Q22" s="42"/>
      <c r="R22" s="42"/>
      <c r="S22" s="42"/>
      <c r="T22" s="42"/>
      <c r="U22" s="42"/>
      <c r="V22" s="42"/>
    </row>
    <row r="23" spans="1:22" s="1" customFormat="1" ht="54.6" customHeight="1" thickTop="1" x14ac:dyDescent="0.3">
      <c r="A23" s="46"/>
      <c r="B23" s="149" t="s">
        <v>18</v>
      </c>
      <c r="C23" s="150"/>
      <c r="D23" s="150"/>
      <c r="E23" s="150"/>
      <c r="F23" s="150"/>
      <c r="G23" s="150"/>
      <c r="H23" s="150"/>
      <c r="I23" s="150"/>
      <c r="J23" s="150"/>
      <c r="K23" s="150"/>
      <c r="L23" s="151"/>
      <c r="M23" s="46"/>
      <c r="N23" s="46"/>
      <c r="O23" s="46"/>
      <c r="P23" s="46"/>
      <c r="Q23" s="46"/>
      <c r="R23" s="46"/>
      <c r="S23" s="46"/>
      <c r="T23" s="46"/>
      <c r="U23" s="46"/>
      <c r="V23" s="46"/>
    </row>
    <row r="24" spans="1:22" x14ac:dyDescent="0.3">
      <c r="A24" s="42"/>
      <c r="B24" s="152" t="s">
        <v>19</v>
      </c>
      <c r="C24" s="153"/>
      <c r="D24" s="153"/>
      <c r="E24" s="153"/>
      <c r="F24" s="153"/>
      <c r="G24" s="153"/>
      <c r="H24" s="153"/>
      <c r="I24" s="153"/>
      <c r="J24" s="153"/>
      <c r="K24" s="153"/>
      <c r="L24" s="154"/>
      <c r="M24" s="42"/>
      <c r="N24" s="42"/>
      <c r="O24" s="42"/>
      <c r="P24" s="42"/>
      <c r="Q24" s="42"/>
      <c r="R24" s="42"/>
      <c r="S24" s="42"/>
      <c r="T24" s="42"/>
      <c r="U24" s="42"/>
      <c r="V24" s="42"/>
    </row>
    <row r="25" spans="1:22" x14ac:dyDescent="0.3">
      <c r="A25" s="42"/>
      <c r="B25" s="128" t="s">
        <v>20</v>
      </c>
      <c r="C25" s="129"/>
      <c r="D25" s="129"/>
      <c r="E25" s="129"/>
      <c r="F25" s="129"/>
      <c r="G25" s="129"/>
      <c r="H25" s="129"/>
      <c r="I25" s="129"/>
      <c r="J25" s="129"/>
      <c r="K25" s="129"/>
      <c r="L25" s="130"/>
      <c r="M25" s="42"/>
      <c r="N25" s="42"/>
      <c r="O25" s="42"/>
      <c r="P25" s="42"/>
      <c r="Q25" s="42"/>
      <c r="R25" s="42"/>
      <c r="S25" s="42"/>
      <c r="T25" s="42"/>
      <c r="U25" s="42"/>
      <c r="V25" s="42"/>
    </row>
    <row r="26" spans="1:22" ht="31.2" customHeight="1" thickBot="1" x14ac:dyDescent="0.35">
      <c r="A26" s="42"/>
      <c r="B26" s="161" t="s">
        <v>21</v>
      </c>
      <c r="C26" s="162"/>
      <c r="D26" s="162"/>
      <c r="E26" s="162"/>
      <c r="F26" s="162"/>
      <c r="G26" s="162"/>
      <c r="H26" s="162"/>
      <c r="I26" s="162"/>
      <c r="J26" s="162"/>
      <c r="K26" s="162"/>
      <c r="L26" s="163"/>
      <c r="M26" s="42"/>
      <c r="N26" s="42"/>
      <c r="O26" s="42"/>
      <c r="P26" s="42"/>
      <c r="Q26" s="42"/>
      <c r="R26" s="42"/>
      <c r="S26" s="42"/>
      <c r="T26" s="42"/>
      <c r="U26" s="42"/>
      <c r="V26" s="42"/>
    </row>
    <row r="27" spans="1:22" ht="15.6" thickTop="1" thickBot="1" x14ac:dyDescent="0.35">
      <c r="A27" s="42"/>
      <c r="B27" s="164"/>
      <c r="C27" s="164"/>
      <c r="D27" s="164"/>
      <c r="E27" s="164"/>
      <c r="F27" s="164"/>
      <c r="G27" s="164"/>
      <c r="H27" s="164"/>
      <c r="I27" s="164"/>
      <c r="J27" s="164"/>
      <c r="K27" s="164"/>
      <c r="L27" s="164"/>
      <c r="M27" s="42"/>
      <c r="N27" s="42"/>
      <c r="O27" s="42"/>
      <c r="P27" s="42"/>
      <c r="Q27" s="42"/>
      <c r="R27" s="42"/>
      <c r="S27" s="42"/>
      <c r="T27" s="42"/>
      <c r="U27" s="42"/>
      <c r="V27" s="42"/>
    </row>
    <row r="28" spans="1:22" ht="19.2" thickTop="1" thickBot="1" x14ac:dyDescent="0.4">
      <c r="A28" s="42"/>
      <c r="B28" s="165" t="s">
        <v>22</v>
      </c>
      <c r="C28" s="166"/>
      <c r="D28" s="166"/>
      <c r="E28" s="167"/>
      <c r="F28" s="47"/>
      <c r="G28" s="47"/>
      <c r="H28" s="47"/>
      <c r="I28" s="47"/>
      <c r="J28" s="47"/>
      <c r="K28" s="47"/>
      <c r="L28" s="47"/>
      <c r="M28" s="42"/>
      <c r="N28" s="42"/>
      <c r="O28" s="42"/>
      <c r="P28" s="42"/>
      <c r="Q28" s="42"/>
      <c r="R28" s="42"/>
      <c r="S28" s="42"/>
      <c r="T28" s="42"/>
      <c r="U28" s="42"/>
      <c r="V28" s="42"/>
    </row>
    <row r="29" spans="1:22" x14ac:dyDescent="0.3">
      <c r="A29" s="42"/>
      <c r="B29" s="168" t="s">
        <v>23</v>
      </c>
      <c r="C29" s="169"/>
      <c r="D29" s="169"/>
      <c r="E29" s="170"/>
      <c r="F29" s="42"/>
      <c r="G29" s="42"/>
      <c r="H29" s="42"/>
      <c r="I29" s="42"/>
      <c r="J29" s="42"/>
      <c r="K29" s="42"/>
      <c r="L29" s="42"/>
      <c r="M29" s="42"/>
      <c r="N29" s="42"/>
      <c r="O29" s="42"/>
      <c r="P29" s="42"/>
      <c r="Q29" s="42"/>
      <c r="R29" s="42"/>
      <c r="S29" s="42"/>
      <c r="T29" s="42"/>
      <c r="U29" s="42"/>
      <c r="V29" s="42"/>
    </row>
    <row r="30" spans="1:22" ht="15" thickBot="1" x14ac:dyDescent="0.35">
      <c r="A30" s="42"/>
      <c r="B30" s="171" t="s">
        <v>24</v>
      </c>
      <c r="C30" s="172"/>
      <c r="D30" s="172"/>
      <c r="E30" s="173"/>
      <c r="F30" s="42"/>
      <c r="G30" s="42"/>
      <c r="H30" s="42"/>
      <c r="I30" s="42"/>
      <c r="J30" s="42"/>
      <c r="K30" s="42"/>
      <c r="L30" s="42"/>
      <c r="M30" s="42"/>
      <c r="N30" s="42"/>
      <c r="O30" s="42"/>
      <c r="P30" s="42"/>
      <c r="Q30" s="42"/>
      <c r="R30" s="42"/>
      <c r="S30" s="42"/>
      <c r="T30" s="42"/>
      <c r="U30" s="42"/>
      <c r="V30" s="42"/>
    </row>
    <row r="31" spans="1:22" x14ac:dyDescent="0.3">
      <c r="A31" s="42"/>
      <c r="B31" s="174" t="s">
        <v>25</v>
      </c>
      <c r="C31" s="175"/>
      <c r="D31" s="175"/>
      <c r="E31" s="176"/>
      <c r="F31" s="48"/>
      <c r="G31" s="48"/>
      <c r="H31" s="48"/>
      <c r="I31" s="48"/>
      <c r="J31" s="48"/>
      <c r="K31" s="48"/>
      <c r="L31" s="48"/>
      <c r="M31" s="42"/>
      <c r="N31" s="42"/>
      <c r="O31" s="42"/>
      <c r="P31" s="42"/>
      <c r="Q31" s="42"/>
      <c r="R31" s="42"/>
      <c r="S31" s="42"/>
      <c r="T31" s="42"/>
      <c r="U31" s="42"/>
      <c r="V31" s="42"/>
    </row>
    <row r="32" spans="1:22" x14ac:dyDescent="0.3">
      <c r="A32" s="42"/>
      <c r="B32" s="155" t="s">
        <v>26</v>
      </c>
      <c r="C32" s="156"/>
      <c r="D32" s="156"/>
      <c r="E32" s="157"/>
      <c r="F32" s="42"/>
      <c r="G32" s="42"/>
      <c r="H32" s="42"/>
      <c r="I32" s="42"/>
      <c r="J32" s="42"/>
      <c r="K32" s="42"/>
      <c r="L32" s="42"/>
      <c r="M32" s="42"/>
      <c r="N32" s="42"/>
      <c r="O32" s="42"/>
      <c r="P32" s="42"/>
      <c r="Q32" s="42"/>
      <c r="R32" s="42"/>
      <c r="S32" s="42"/>
      <c r="T32" s="42"/>
      <c r="U32" s="42"/>
      <c r="V32" s="42"/>
    </row>
    <row r="33" spans="1:22" ht="15" thickBot="1" x14ac:dyDescent="0.35">
      <c r="A33" s="42"/>
      <c r="B33" s="158" t="s">
        <v>27</v>
      </c>
      <c r="C33" s="159"/>
      <c r="D33" s="159"/>
      <c r="E33" s="160"/>
      <c r="F33" s="42"/>
      <c r="G33" s="42"/>
      <c r="H33" s="42"/>
      <c r="I33" s="42"/>
      <c r="J33" s="42"/>
      <c r="K33" s="42"/>
      <c r="L33" s="42"/>
      <c r="M33" s="42"/>
      <c r="N33" s="42"/>
      <c r="O33" s="42"/>
      <c r="P33" s="42"/>
      <c r="Q33" s="42"/>
      <c r="R33" s="42"/>
      <c r="S33" s="42"/>
      <c r="T33" s="42"/>
      <c r="U33" s="42"/>
      <c r="V33" s="42"/>
    </row>
    <row r="34" spans="1:22" ht="15" thickTop="1" x14ac:dyDescent="0.3">
      <c r="A34" s="42"/>
      <c r="B34" s="42"/>
      <c r="C34" s="42"/>
      <c r="D34" s="42"/>
      <c r="E34" s="42"/>
      <c r="F34" s="42"/>
      <c r="G34" s="42"/>
      <c r="H34" s="42"/>
      <c r="I34" s="42"/>
      <c r="J34" s="42"/>
      <c r="K34" s="42"/>
      <c r="L34" s="42"/>
      <c r="M34" s="42"/>
      <c r="N34" s="42"/>
      <c r="O34" s="42"/>
      <c r="P34" s="42"/>
      <c r="Q34" s="42"/>
      <c r="R34" s="42"/>
      <c r="S34" s="42"/>
      <c r="T34" s="42"/>
      <c r="U34" s="42"/>
      <c r="V34" s="42"/>
    </row>
    <row r="35" spans="1:22" x14ac:dyDescent="0.3">
      <c r="A35" s="42"/>
      <c r="B35" s="42"/>
      <c r="C35" s="42"/>
      <c r="D35" s="42"/>
      <c r="E35" s="42"/>
      <c r="F35" s="42"/>
      <c r="G35" s="42"/>
      <c r="H35" s="42"/>
      <c r="I35" s="42"/>
      <c r="J35" s="42"/>
      <c r="K35" s="42"/>
      <c r="L35" s="42"/>
      <c r="M35" s="42"/>
      <c r="N35" s="42"/>
      <c r="O35" s="42"/>
      <c r="P35" s="42"/>
      <c r="Q35" s="42"/>
      <c r="R35" s="42"/>
      <c r="S35" s="42"/>
      <c r="T35" s="42"/>
      <c r="U35" s="42"/>
      <c r="V35" s="42"/>
    </row>
  </sheetData>
  <mergeCells count="30">
    <mergeCell ref="B32:E32"/>
    <mergeCell ref="B33:E33"/>
    <mergeCell ref="B26:L26"/>
    <mergeCell ref="B27:L27"/>
    <mergeCell ref="B28:E28"/>
    <mergeCell ref="B29:E29"/>
    <mergeCell ref="B30:E30"/>
    <mergeCell ref="B31:E31"/>
    <mergeCell ref="B25:L25"/>
    <mergeCell ref="B16:L16"/>
    <mergeCell ref="B17:L17"/>
    <mergeCell ref="B18:L18"/>
    <mergeCell ref="B19:L19"/>
    <mergeCell ref="B20:L20"/>
    <mergeCell ref="B21:L21"/>
    <mergeCell ref="B22:L22"/>
    <mergeCell ref="B23:L23"/>
    <mergeCell ref="B24:L24"/>
    <mergeCell ref="B15:L15"/>
    <mergeCell ref="B2:G2"/>
    <mergeCell ref="B4:L4"/>
    <mergeCell ref="B5:L5"/>
    <mergeCell ref="C6:L6"/>
    <mergeCell ref="C7:L7"/>
    <mergeCell ref="C8:L8"/>
    <mergeCell ref="C9:L9"/>
    <mergeCell ref="B10:L10"/>
    <mergeCell ref="B12:L12"/>
    <mergeCell ref="B13:L13"/>
    <mergeCell ref="B14:L14"/>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tabSelected="1" workbookViewId="0">
      <selection activeCell="C5" sqref="C5"/>
    </sheetView>
  </sheetViews>
  <sheetFormatPr defaultRowHeight="14.4" x14ac:dyDescent="0.3"/>
  <cols>
    <col min="1" max="1" width="14.88671875" customWidth="1"/>
    <col min="2" max="2" width="23" customWidth="1"/>
    <col min="3" max="3" width="96.6640625" style="20" customWidth="1"/>
  </cols>
  <sheetData>
    <row r="1" spans="1:3" x14ac:dyDescent="0.3">
      <c r="A1" s="2" t="s">
        <v>28</v>
      </c>
      <c r="B1" s="2" t="s">
        <v>29</v>
      </c>
      <c r="C1" s="3" t="s">
        <v>30</v>
      </c>
    </row>
    <row r="2" spans="1:3" x14ac:dyDescent="0.3">
      <c r="A2" s="4" t="s">
        <v>31</v>
      </c>
      <c r="B2" s="5" t="s">
        <v>32</v>
      </c>
      <c r="C2" s="6" t="b">
        <v>1</v>
      </c>
    </row>
    <row r="3" spans="1:3" x14ac:dyDescent="0.3">
      <c r="A3" s="4" t="s">
        <v>31</v>
      </c>
      <c r="B3" s="5" t="s">
        <v>33</v>
      </c>
      <c r="C3" s="6" t="b">
        <v>0</v>
      </c>
    </row>
    <row r="4" spans="1:3" x14ac:dyDescent="0.3">
      <c r="A4" s="7" t="s">
        <v>34</v>
      </c>
      <c r="B4" s="8" t="s">
        <v>35</v>
      </c>
      <c r="C4" s="6" t="b">
        <v>0</v>
      </c>
    </row>
    <row r="5" spans="1:3" x14ac:dyDescent="0.3">
      <c r="A5" s="7" t="s">
        <v>34</v>
      </c>
      <c r="B5" s="9" t="s">
        <v>36</v>
      </c>
      <c r="C5" s="10" t="b">
        <v>1</v>
      </c>
    </row>
    <row r="6" spans="1:3" x14ac:dyDescent="0.3">
      <c r="A6" s="7" t="s">
        <v>34</v>
      </c>
      <c r="B6" s="9" t="s">
        <v>37</v>
      </c>
      <c r="C6" s="10" t="s">
        <v>38</v>
      </c>
    </row>
    <row r="7" spans="1:3" x14ac:dyDescent="0.3">
      <c r="A7" s="7" t="s">
        <v>34</v>
      </c>
      <c r="B7" s="9" t="s">
        <v>39</v>
      </c>
      <c r="C7" s="10" t="s">
        <v>103</v>
      </c>
    </row>
    <row r="8" spans="1:3" x14ac:dyDescent="0.3">
      <c r="A8" s="11" t="s">
        <v>40</v>
      </c>
      <c r="B8" s="8" t="s">
        <v>41</v>
      </c>
      <c r="C8" s="12" t="s">
        <v>42</v>
      </c>
    </row>
    <row r="9" spans="1:3" x14ac:dyDescent="0.3">
      <c r="A9" s="11" t="s">
        <v>43</v>
      </c>
      <c r="B9" s="8" t="s">
        <v>44</v>
      </c>
      <c r="C9" s="13" t="s">
        <v>45</v>
      </c>
    </row>
    <row r="10" spans="1:3" x14ac:dyDescent="0.3">
      <c r="A10" s="14" t="s">
        <v>43</v>
      </c>
      <c r="B10" s="9" t="s">
        <v>46</v>
      </c>
      <c r="C10" s="15" t="s">
        <v>47</v>
      </c>
    </row>
    <row r="11" spans="1:3" x14ac:dyDescent="0.3">
      <c r="A11" s="177" t="s">
        <v>48</v>
      </c>
      <c r="B11" s="178"/>
      <c r="C11" s="16"/>
    </row>
    <row r="12" spans="1:3" x14ac:dyDescent="0.3">
      <c r="A12" s="17" t="s">
        <v>28</v>
      </c>
      <c r="B12" s="17" t="s">
        <v>29</v>
      </c>
      <c r="C12" s="18" t="s">
        <v>30</v>
      </c>
    </row>
    <row r="13" spans="1:3" x14ac:dyDescent="0.3">
      <c r="A13" t="s">
        <v>31</v>
      </c>
      <c r="B13" s="19" t="s">
        <v>49</v>
      </c>
      <c r="C13" s="20" t="b">
        <v>1</v>
      </c>
    </row>
    <row r="14" spans="1:3" x14ac:dyDescent="0.3">
      <c r="A14" t="s">
        <v>34</v>
      </c>
      <c r="B14" s="19" t="s">
        <v>50</v>
      </c>
      <c r="C14" s="20" t="b">
        <v>0</v>
      </c>
    </row>
    <row r="15" spans="1:3" x14ac:dyDescent="0.3">
      <c r="A15" t="s">
        <v>34</v>
      </c>
      <c r="B15" s="19" t="s">
        <v>51</v>
      </c>
      <c r="C15" s="20" t="s">
        <v>52</v>
      </c>
    </row>
    <row r="16" spans="1:3" x14ac:dyDescent="0.3">
      <c r="A16" t="s">
        <v>34</v>
      </c>
      <c r="B16" s="19" t="s">
        <v>53</v>
      </c>
      <c r="C16" s="20" t="s">
        <v>54</v>
      </c>
    </row>
    <row r="17" spans="1:3" x14ac:dyDescent="0.3">
      <c r="A17" t="s">
        <v>34</v>
      </c>
      <c r="B17" s="19" t="s">
        <v>55</v>
      </c>
      <c r="C17" s="20" t="s">
        <v>56</v>
      </c>
    </row>
    <row r="18" spans="1:3" x14ac:dyDescent="0.3">
      <c r="A18" t="s">
        <v>34</v>
      </c>
      <c r="B18" s="19" t="s">
        <v>57</v>
      </c>
      <c r="C18" s="20" t="s">
        <v>58</v>
      </c>
    </row>
    <row r="19" spans="1:3" x14ac:dyDescent="0.3">
      <c r="A19" t="s">
        <v>34</v>
      </c>
      <c r="B19" s="19" t="s">
        <v>59</v>
      </c>
      <c r="C19" s="20" t="s">
        <v>60</v>
      </c>
    </row>
    <row r="20" spans="1:3" x14ac:dyDescent="0.3">
      <c r="A20" t="s">
        <v>34</v>
      </c>
      <c r="B20" s="19" t="s">
        <v>61</v>
      </c>
      <c r="C20" s="20" t="s">
        <v>62</v>
      </c>
    </row>
    <row r="21" spans="1:3" x14ac:dyDescent="0.3">
      <c r="A21" t="s">
        <v>43</v>
      </c>
      <c r="B21" s="19" t="s">
        <v>63</v>
      </c>
    </row>
    <row r="22" spans="1:3" x14ac:dyDescent="0.3">
      <c r="A22" t="s">
        <v>64</v>
      </c>
      <c r="B22" s="19" t="s">
        <v>65</v>
      </c>
      <c r="C22" s="20" t="b">
        <v>0</v>
      </c>
    </row>
    <row r="23" spans="1:3" x14ac:dyDescent="0.3">
      <c r="A23" t="s">
        <v>64</v>
      </c>
      <c r="B23" s="19" t="s">
        <v>66</v>
      </c>
      <c r="C23" s="20" t="s">
        <v>99</v>
      </c>
    </row>
    <row r="24" spans="1:3" x14ac:dyDescent="0.3">
      <c r="A24" t="s">
        <v>64</v>
      </c>
      <c r="B24" s="19" t="s">
        <v>67</v>
      </c>
      <c r="C24" s="20" t="s">
        <v>99</v>
      </c>
    </row>
  </sheetData>
  <dataConsolidate/>
  <mergeCells count="1">
    <mergeCell ref="A11:B11"/>
  </mergeCells>
  <pageMargins left="0.7" right="0.7" top="0.75" bottom="0.75" header="0.3" footer="0.3"/>
  <pageSetup orientation="portrait" horizontalDpi="300" verticalDpi="30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62"/>
  <sheetViews>
    <sheetView zoomScaleNormal="100" workbookViewId="0">
      <selection activeCell="G55" sqref="G55"/>
    </sheetView>
  </sheetViews>
  <sheetFormatPr defaultRowHeight="14.4" x14ac:dyDescent="0.3"/>
  <cols>
    <col min="1" max="1" width="21.77734375" customWidth="1"/>
    <col min="2" max="2" width="15.33203125" customWidth="1"/>
    <col min="3" max="3" width="16.21875" style="30" customWidth="1"/>
    <col min="4" max="4" width="16.88671875" style="30" customWidth="1"/>
    <col min="5" max="5" width="15.109375" style="30" customWidth="1"/>
    <col min="6" max="6" width="10.21875" customWidth="1"/>
    <col min="7" max="7" width="10.5546875" customWidth="1"/>
    <col min="8" max="8" width="16.109375" customWidth="1"/>
    <col min="9" max="9" width="18.109375" customWidth="1"/>
    <col min="10" max="10" width="11.88671875" customWidth="1"/>
    <col min="11" max="11" width="15.109375" customWidth="1"/>
    <col min="12" max="12" width="10.44140625" customWidth="1"/>
    <col min="13" max="13" width="17.88671875" customWidth="1"/>
    <col min="14" max="14" width="17" customWidth="1"/>
  </cols>
  <sheetData>
    <row r="1" spans="1:14" s="20" customFormat="1" ht="32.4" customHeight="1" x14ac:dyDescent="0.3">
      <c r="A1" s="66" t="s">
        <v>68</v>
      </c>
      <c r="B1" s="67" t="s">
        <v>69</v>
      </c>
      <c r="C1" s="67" t="s">
        <v>70</v>
      </c>
      <c r="D1" s="67" t="s">
        <v>71</v>
      </c>
      <c r="E1" s="67" t="s">
        <v>72</v>
      </c>
      <c r="F1" s="67" t="s">
        <v>73</v>
      </c>
      <c r="G1" s="67" t="s">
        <v>74</v>
      </c>
      <c r="H1" s="67" t="s">
        <v>75</v>
      </c>
      <c r="I1" s="67" t="s">
        <v>76</v>
      </c>
      <c r="J1" s="67" t="s">
        <v>77</v>
      </c>
      <c r="K1" s="67" t="s">
        <v>78</v>
      </c>
      <c r="L1" s="68" t="s">
        <v>79</v>
      </c>
      <c r="M1" s="67" t="s">
        <v>80</v>
      </c>
      <c r="N1" s="67" t="s">
        <v>81</v>
      </c>
    </row>
    <row r="2" spans="1:14" x14ac:dyDescent="0.3">
      <c r="A2" s="21"/>
      <c r="B2" s="22"/>
      <c r="C2" s="23"/>
      <c r="D2" s="23"/>
      <c r="E2" s="23"/>
      <c r="F2" s="24"/>
      <c r="G2" s="24"/>
      <c r="H2" s="24"/>
      <c r="I2" s="23"/>
      <c r="J2" s="24"/>
      <c r="K2" s="25"/>
      <c r="L2" s="26"/>
      <c r="M2" s="22"/>
      <c r="N2" s="22"/>
    </row>
    <row r="3" spans="1:14" x14ac:dyDescent="0.3">
      <c r="A3" s="21"/>
      <c r="B3" s="22"/>
      <c r="C3" s="23"/>
      <c r="D3" s="23"/>
      <c r="E3" s="23"/>
      <c r="F3" s="24"/>
      <c r="G3" s="24"/>
      <c r="H3" s="24"/>
      <c r="I3" s="23"/>
      <c r="J3" s="24"/>
      <c r="K3" s="25"/>
      <c r="L3" s="26"/>
      <c r="M3" s="22"/>
      <c r="N3" s="22"/>
    </row>
    <row r="4" spans="1:14" x14ac:dyDescent="0.3">
      <c r="A4" s="21"/>
      <c r="B4" s="22"/>
      <c r="C4" s="23"/>
      <c r="D4" s="23"/>
      <c r="E4" s="23"/>
      <c r="F4" s="24"/>
      <c r="G4" s="24"/>
      <c r="H4" s="24"/>
      <c r="I4" s="23"/>
      <c r="J4" s="24"/>
      <c r="K4" s="25"/>
      <c r="L4" s="26"/>
      <c r="M4" s="22"/>
      <c r="N4" s="22"/>
    </row>
    <row r="5" spans="1:14" x14ac:dyDescent="0.3">
      <c r="A5" s="21"/>
      <c r="B5" s="22"/>
      <c r="C5" s="23"/>
      <c r="D5" s="23"/>
      <c r="E5" s="23"/>
      <c r="F5" s="24"/>
      <c r="G5" s="24"/>
      <c r="H5" s="24"/>
      <c r="I5" s="23"/>
      <c r="J5" s="24"/>
      <c r="K5" s="25"/>
      <c r="L5" s="26"/>
      <c r="M5" s="22"/>
      <c r="N5" s="22"/>
    </row>
    <row r="6" spans="1:14" x14ac:dyDescent="0.3">
      <c r="A6" s="21"/>
      <c r="B6" s="22"/>
      <c r="C6" s="23"/>
      <c r="D6" s="23"/>
      <c r="E6" s="23"/>
      <c r="F6" s="24"/>
      <c r="G6" s="24"/>
      <c r="H6" s="24"/>
      <c r="I6" s="23"/>
      <c r="J6" s="24"/>
      <c r="K6" s="25"/>
      <c r="L6" s="26"/>
      <c r="M6" s="22"/>
      <c r="N6" s="22"/>
    </row>
    <row r="7" spans="1:14" x14ac:dyDescent="0.3">
      <c r="A7" s="21"/>
      <c r="B7" s="22"/>
      <c r="C7" s="23"/>
      <c r="D7" s="23"/>
      <c r="E7" s="23"/>
      <c r="F7" s="24"/>
      <c r="G7" s="24"/>
      <c r="H7" s="24"/>
      <c r="I7" s="23"/>
      <c r="J7" s="24"/>
      <c r="K7" s="25"/>
      <c r="L7" s="26"/>
      <c r="M7" s="22"/>
      <c r="N7" s="22"/>
    </row>
    <row r="8" spans="1:14" x14ac:dyDescent="0.3">
      <c r="A8" s="21"/>
      <c r="B8" s="22"/>
      <c r="C8" s="23"/>
      <c r="D8" s="23"/>
      <c r="E8" s="23"/>
      <c r="F8" s="24"/>
      <c r="G8" s="24"/>
      <c r="H8" s="24"/>
      <c r="I8" s="23"/>
      <c r="J8" s="24"/>
      <c r="K8" s="25"/>
      <c r="L8" s="26"/>
      <c r="M8" s="22"/>
      <c r="N8" s="22"/>
    </row>
    <row r="9" spans="1:14" x14ac:dyDescent="0.3">
      <c r="A9" s="21"/>
      <c r="B9" s="22"/>
      <c r="C9" s="23"/>
      <c r="D9" s="23"/>
      <c r="E9" s="23"/>
      <c r="F9" s="24"/>
      <c r="G9" s="24"/>
      <c r="H9" s="24"/>
      <c r="I9" s="23"/>
      <c r="J9" s="24"/>
      <c r="K9" s="25"/>
      <c r="L9" s="26"/>
      <c r="M9" s="22"/>
      <c r="N9" s="22"/>
    </row>
    <row r="10" spans="1:14" x14ac:dyDescent="0.3">
      <c r="A10" s="60"/>
      <c r="B10" s="61"/>
      <c r="C10" s="74"/>
      <c r="D10" s="74"/>
      <c r="E10" s="74"/>
      <c r="F10" s="76"/>
      <c r="G10" s="78"/>
      <c r="H10" s="76"/>
      <c r="I10" s="74"/>
      <c r="J10" s="78"/>
      <c r="K10" s="62"/>
      <c r="L10" s="79"/>
      <c r="M10" s="22"/>
      <c r="N10" s="22"/>
    </row>
    <row r="11" spans="1:14" x14ac:dyDescent="0.3">
      <c r="A11" s="21"/>
      <c r="B11" s="22"/>
      <c r="C11" s="23"/>
      <c r="D11" s="23"/>
      <c r="E11" s="23"/>
      <c r="F11" s="24"/>
      <c r="G11" s="24"/>
      <c r="H11" s="24"/>
      <c r="I11" s="23"/>
      <c r="J11" s="24"/>
      <c r="K11" s="25"/>
      <c r="L11" s="26"/>
      <c r="M11" s="22"/>
      <c r="N11" s="22"/>
    </row>
    <row r="12" spans="1:14" x14ac:dyDescent="0.3">
      <c r="A12" s="21"/>
      <c r="B12" s="22"/>
      <c r="C12" s="23"/>
      <c r="D12" s="23"/>
      <c r="E12" s="23"/>
      <c r="F12" s="24"/>
      <c r="G12" s="24"/>
      <c r="H12" s="24"/>
      <c r="I12" s="23"/>
      <c r="J12" s="24"/>
      <c r="K12" s="25"/>
      <c r="L12" s="26"/>
      <c r="M12" s="22"/>
      <c r="N12" s="22"/>
    </row>
    <row r="13" spans="1:14" x14ac:dyDescent="0.3">
      <c r="A13" s="21"/>
      <c r="B13" s="22"/>
      <c r="C13" s="23"/>
      <c r="D13" s="23"/>
      <c r="E13" s="23"/>
      <c r="F13" s="24"/>
      <c r="G13" s="24"/>
      <c r="H13" s="24"/>
      <c r="I13" s="23"/>
      <c r="J13" s="24"/>
      <c r="K13" s="25"/>
      <c r="L13" s="26"/>
      <c r="M13" s="22"/>
      <c r="N13" s="22"/>
    </row>
    <row r="14" spans="1:14" x14ac:dyDescent="0.3">
      <c r="A14" s="21"/>
      <c r="B14" s="22"/>
      <c r="C14" s="23"/>
      <c r="D14" s="23"/>
      <c r="E14" s="23"/>
      <c r="F14" s="24"/>
      <c r="G14" s="24"/>
      <c r="H14" s="24"/>
      <c r="I14" s="23"/>
      <c r="J14" s="24"/>
      <c r="K14" s="25"/>
      <c r="L14" s="26"/>
      <c r="M14" s="22"/>
      <c r="N14" s="22"/>
    </row>
    <row r="15" spans="1:14" x14ac:dyDescent="0.3">
      <c r="A15" s="21"/>
      <c r="B15" s="22"/>
      <c r="C15" s="23"/>
      <c r="D15" s="23"/>
      <c r="E15" s="23"/>
      <c r="F15" s="24"/>
      <c r="G15" s="24"/>
      <c r="H15" s="24"/>
      <c r="I15" s="23"/>
      <c r="J15" s="24"/>
      <c r="K15" s="25"/>
      <c r="L15" s="26"/>
      <c r="M15" s="22"/>
      <c r="N15" s="22"/>
    </row>
    <row r="16" spans="1:14" x14ac:dyDescent="0.3">
      <c r="A16" s="21"/>
      <c r="B16" s="22"/>
      <c r="C16" s="23"/>
      <c r="D16" s="23"/>
      <c r="E16" s="23"/>
      <c r="F16" s="24"/>
      <c r="G16" s="24"/>
      <c r="H16" s="24"/>
      <c r="I16" s="23"/>
      <c r="J16" s="24"/>
      <c r="K16" s="25"/>
      <c r="L16" s="26"/>
      <c r="M16" s="22"/>
      <c r="N16" s="22"/>
    </row>
    <row r="17" spans="1:14" x14ac:dyDescent="0.3">
      <c r="A17" s="21"/>
      <c r="B17" s="22"/>
      <c r="C17" s="23"/>
      <c r="D17" s="23"/>
      <c r="E17" s="23"/>
      <c r="F17" s="24"/>
      <c r="G17" s="24"/>
      <c r="H17" s="24"/>
      <c r="I17" s="23"/>
      <c r="J17" s="24"/>
      <c r="K17" s="25"/>
      <c r="L17" s="26"/>
      <c r="M17" s="22"/>
      <c r="N17" s="22"/>
    </row>
    <row r="18" spans="1:14" x14ac:dyDescent="0.3">
      <c r="A18" s="21"/>
      <c r="B18" s="22"/>
      <c r="C18" s="23"/>
      <c r="D18" s="23"/>
      <c r="E18" s="23"/>
      <c r="F18" s="24"/>
      <c r="G18" s="24"/>
      <c r="H18" s="24"/>
      <c r="I18" s="23"/>
      <c r="J18" s="24"/>
      <c r="K18" s="25"/>
      <c r="L18" s="26"/>
      <c r="M18" s="22"/>
      <c r="N18" s="22"/>
    </row>
    <row r="19" spans="1:14" x14ac:dyDescent="0.3">
      <c r="A19" s="21"/>
      <c r="B19" s="22"/>
      <c r="C19" s="23"/>
      <c r="D19" s="23"/>
      <c r="E19" s="23"/>
      <c r="F19" s="24"/>
      <c r="G19" s="24"/>
      <c r="H19" s="24"/>
      <c r="I19" s="23"/>
      <c r="J19" s="24"/>
      <c r="K19" s="25"/>
      <c r="L19" s="26"/>
      <c r="M19" s="22"/>
      <c r="N19" s="22"/>
    </row>
    <row r="20" spans="1:14" x14ac:dyDescent="0.3">
      <c r="A20" s="21"/>
      <c r="B20" s="22"/>
      <c r="C20" s="23"/>
      <c r="D20" s="23"/>
      <c r="E20" s="23"/>
      <c r="F20" s="24"/>
      <c r="G20" s="24"/>
      <c r="H20" s="24"/>
      <c r="I20" s="23"/>
      <c r="J20" s="24"/>
      <c r="K20" s="25"/>
      <c r="L20" s="26"/>
      <c r="M20" s="22"/>
      <c r="N20" s="22"/>
    </row>
    <row r="21" spans="1:14" x14ac:dyDescent="0.3">
      <c r="A21" s="21"/>
      <c r="B21" s="22"/>
      <c r="C21" s="23"/>
      <c r="D21" s="23"/>
      <c r="E21" s="23"/>
      <c r="F21" s="24"/>
      <c r="G21" s="24"/>
      <c r="H21" s="24"/>
      <c r="I21" s="23"/>
      <c r="J21" s="24"/>
      <c r="K21" s="25"/>
      <c r="L21" s="26"/>
      <c r="M21" s="22"/>
      <c r="N21" s="22"/>
    </row>
    <row r="22" spans="1:14" x14ac:dyDescent="0.3">
      <c r="A22" s="21"/>
      <c r="B22" s="22"/>
      <c r="C22" s="23"/>
      <c r="D22" s="23"/>
      <c r="E22" s="23"/>
      <c r="F22" s="24"/>
      <c r="G22" s="24"/>
      <c r="H22" s="24"/>
      <c r="I22" s="23"/>
      <c r="J22" s="24"/>
      <c r="K22" s="25"/>
      <c r="L22" s="26"/>
      <c r="M22" s="22"/>
      <c r="N22" s="22"/>
    </row>
    <row r="23" spans="1:14" x14ac:dyDescent="0.3">
      <c r="A23" s="21"/>
      <c r="B23" s="22"/>
      <c r="C23" s="23"/>
      <c r="D23" s="23"/>
      <c r="E23" s="23"/>
      <c r="F23" s="24"/>
      <c r="G23" s="24"/>
      <c r="H23" s="24"/>
      <c r="I23" s="23"/>
      <c r="J23" s="24"/>
      <c r="K23" s="25"/>
      <c r="L23" s="26"/>
      <c r="M23" s="22"/>
      <c r="N23" s="22"/>
    </row>
    <row r="24" spans="1:14" x14ac:dyDescent="0.3">
      <c r="A24" s="21"/>
      <c r="B24" s="22"/>
      <c r="C24" s="23"/>
      <c r="D24" s="23"/>
      <c r="E24" s="23"/>
      <c r="F24" s="24"/>
      <c r="G24" s="24"/>
      <c r="H24" s="24"/>
      <c r="I24" s="23"/>
      <c r="J24" s="24"/>
      <c r="K24" s="25"/>
      <c r="L24" s="26"/>
      <c r="M24" s="22"/>
      <c r="N24" s="22"/>
    </row>
    <row r="25" spans="1:14" x14ac:dyDescent="0.3">
      <c r="A25" s="21"/>
      <c r="B25" s="22"/>
      <c r="C25" s="23"/>
      <c r="D25" s="23"/>
      <c r="E25" s="23"/>
      <c r="F25" s="24"/>
      <c r="G25" s="24"/>
      <c r="H25" s="24"/>
      <c r="I25" s="23"/>
      <c r="J25" s="24"/>
      <c r="K25" s="25"/>
      <c r="L25" s="26"/>
      <c r="M25" s="22"/>
      <c r="N25" s="22"/>
    </row>
    <row r="26" spans="1:14" x14ac:dyDescent="0.3">
      <c r="A26" s="21"/>
      <c r="B26" s="22"/>
      <c r="C26" s="23"/>
      <c r="D26" s="23"/>
      <c r="E26" s="23"/>
      <c r="F26" s="24"/>
      <c r="G26" s="24"/>
      <c r="H26" s="24"/>
      <c r="I26" s="23"/>
      <c r="J26" s="24"/>
      <c r="K26" s="25"/>
      <c r="L26" s="26"/>
      <c r="M26" s="22"/>
      <c r="N26" s="22"/>
    </row>
    <row r="27" spans="1:14" x14ac:dyDescent="0.3">
      <c r="A27" s="21"/>
      <c r="B27" s="22"/>
      <c r="C27" s="23"/>
      <c r="D27" s="23"/>
      <c r="E27" s="23"/>
      <c r="F27" s="24"/>
      <c r="G27" s="24"/>
      <c r="H27" s="24"/>
      <c r="I27" s="23"/>
      <c r="J27" s="24"/>
      <c r="K27" s="25"/>
      <c r="L27" s="26"/>
      <c r="M27" s="22"/>
      <c r="N27" s="22"/>
    </row>
    <row r="28" spans="1:14" x14ac:dyDescent="0.3">
      <c r="A28" s="21"/>
      <c r="B28" s="22"/>
      <c r="C28" s="23"/>
      <c r="D28" s="23"/>
      <c r="E28" s="23"/>
      <c r="F28" s="24"/>
      <c r="G28" s="24"/>
      <c r="H28" s="24"/>
      <c r="I28" s="23"/>
      <c r="J28" s="24"/>
      <c r="K28" s="25"/>
      <c r="L28" s="26"/>
      <c r="M28" s="22"/>
      <c r="N28" s="22"/>
    </row>
    <row r="29" spans="1:14" x14ac:dyDescent="0.3">
      <c r="A29" s="21"/>
      <c r="B29" s="22"/>
      <c r="C29" s="23"/>
      <c r="D29" s="23"/>
      <c r="E29" s="23"/>
      <c r="F29" s="24"/>
      <c r="G29" s="24"/>
      <c r="H29" s="24"/>
      <c r="I29" s="23"/>
      <c r="J29" s="24"/>
      <c r="K29" s="25"/>
      <c r="L29" s="26"/>
      <c r="M29" s="22"/>
      <c r="N29" s="22"/>
    </row>
    <row r="30" spans="1:14" x14ac:dyDescent="0.3">
      <c r="A30" s="21"/>
      <c r="B30" s="22"/>
      <c r="C30" s="23"/>
      <c r="D30" s="23"/>
      <c r="E30" s="23"/>
      <c r="F30" s="24"/>
      <c r="G30" s="24"/>
      <c r="H30" s="24"/>
      <c r="I30" s="23"/>
      <c r="J30" s="24"/>
      <c r="K30" s="25"/>
      <c r="L30" s="26"/>
      <c r="M30" s="22"/>
      <c r="N30" s="22"/>
    </row>
    <row r="31" spans="1:14" x14ac:dyDescent="0.3">
      <c r="A31" s="21"/>
      <c r="B31" s="22"/>
      <c r="C31" s="23"/>
      <c r="D31" s="23"/>
      <c r="E31" s="23"/>
      <c r="F31" s="24"/>
      <c r="G31" s="24"/>
      <c r="H31" s="24"/>
      <c r="I31" s="23"/>
      <c r="J31" s="24"/>
      <c r="K31" s="25"/>
      <c r="L31" s="26"/>
      <c r="M31" s="22"/>
      <c r="N31" s="22"/>
    </row>
    <row r="32" spans="1:14" x14ac:dyDescent="0.3">
      <c r="A32" s="21"/>
      <c r="B32" s="22"/>
      <c r="C32" s="23"/>
      <c r="D32" s="23"/>
      <c r="E32" s="23"/>
      <c r="F32" s="24"/>
      <c r="G32" s="24"/>
      <c r="H32" s="24"/>
      <c r="I32" s="23"/>
      <c r="J32" s="24"/>
      <c r="K32" s="25"/>
      <c r="L32" s="26"/>
      <c r="M32" s="22"/>
      <c r="N32" s="22"/>
    </row>
    <row r="33" spans="1:14" x14ac:dyDescent="0.3">
      <c r="A33" s="21"/>
      <c r="B33" s="22"/>
      <c r="C33" s="23"/>
      <c r="D33" s="23"/>
      <c r="E33" s="23"/>
      <c r="F33" s="24"/>
      <c r="G33" s="24"/>
      <c r="H33" s="24"/>
      <c r="I33" s="23"/>
      <c r="J33" s="24"/>
      <c r="K33" s="25"/>
      <c r="L33" s="26"/>
      <c r="M33" s="22"/>
      <c r="N33" s="22"/>
    </row>
    <row r="34" spans="1:14" x14ac:dyDescent="0.3">
      <c r="A34" s="21"/>
      <c r="B34" s="22"/>
      <c r="C34" s="23"/>
      <c r="D34" s="23"/>
      <c r="E34" s="23"/>
      <c r="F34" s="24"/>
      <c r="G34" s="24"/>
      <c r="H34" s="24"/>
      <c r="I34" s="23"/>
      <c r="J34" s="24"/>
      <c r="K34" s="25"/>
      <c r="L34" s="26"/>
      <c r="M34" s="22"/>
      <c r="N34" s="22"/>
    </row>
    <row r="35" spans="1:14" x14ac:dyDescent="0.3">
      <c r="A35" s="21"/>
      <c r="B35" s="22"/>
      <c r="C35" s="23"/>
      <c r="D35" s="23"/>
      <c r="E35" s="23"/>
      <c r="F35" s="24"/>
      <c r="G35" s="24"/>
      <c r="H35" s="24"/>
      <c r="I35" s="23"/>
      <c r="J35" s="24"/>
      <c r="K35" s="25"/>
      <c r="L35" s="26"/>
      <c r="M35" s="22"/>
      <c r="N35" s="22"/>
    </row>
    <row r="36" spans="1:14" x14ac:dyDescent="0.3">
      <c r="A36" s="21"/>
      <c r="B36" s="22"/>
      <c r="C36" s="23"/>
      <c r="D36" s="23"/>
      <c r="E36" s="23"/>
      <c r="F36" s="24"/>
      <c r="G36" s="24"/>
      <c r="H36" s="24"/>
      <c r="I36" s="23"/>
      <c r="J36" s="24"/>
      <c r="K36" s="25"/>
      <c r="L36" s="26"/>
      <c r="M36" s="22"/>
      <c r="N36" s="22"/>
    </row>
    <row r="37" spans="1:14" x14ac:dyDescent="0.3">
      <c r="A37" s="21"/>
      <c r="B37" s="22"/>
      <c r="C37" s="23"/>
      <c r="D37" s="23"/>
      <c r="E37" s="23"/>
      <c r="F37" s="24"/>
      <c r="G37" s="24"/>
      <c r="H37" s="24"/>
      <c r="I37" s="23"/>
      <c r="J37" s="24"/>
      <c r="K37" s="25"/>
      <c r="L37" s="26"/>
      <c r="M37" s="22"/>
      <c r="N37" s="22"/>
    </row>
    <row r="38" spans="1:14" x14ac:dyDescent="0.3">
      <c r="A38" s="21"/>
      <c r="B38" s="22"/>
      <c r="C38" s="23"/>
      <c r="D38" s="23"/>
      <c r="E38" s="23"/>
      <c r="F38" s="24"/>
      <c r="G38" s="24"/>
      <c r="H38" s="24"/>
      <c r="I38" s="23"/>
      <c r="J38" s="24"/>
      <c r="K38" s="25"/>
      <c r="L38" s="26"/>
      <c r="M38" s="22"/>
      <c r="N38" s="22"/>
    </row>
    <row r="39" spans="1:14" x14ac:dyDescent="0.3">
      <c r="A39" s="21"/>
      <c r="B39" s="22"/>
      <c r="C39" s="23"/>
      <c r="D39" s="23"/>
      <c r="E39" s="23"/>
      <c r="F39" s="24"/>
      <c r="G39" s="24"/>
      <c r="H39" s="24"/>
      <c r="I39" s="23"/>
      <c r="J39" s="24"/>
      <c r="K39" s="25"/>
      <c r="L39" s="26"/>
      <c r="M39" s="22"/>
      <c r="N39" s="22"/>
    </row>
    <row r="40" spans="1:14" x14ac:dyDescent="0.3">
      <c r="A40" s="21"/>
      <c r="B40" s="22"/>
      <c r="C40" s="23"/>
      <c r="D40" s="23"/>
      <c r="E40" s="23"/>
      <c r="F40" s="24"/>
      <c r="G40" s="24"/>
      <c r="H40" s="24"/>
      <c r="I40" s="23"/>
      <c r="J40" s="24"/>
      <c r="K40" s="25"/>
      <c r="L40" s="26"/>
      <c r="M40" s="22"/>
      <c r="N40" s="22"/>
    </row>
    <row r="41" spans="1:14" x14ac:dyDescent="0.3">
      <c r="A41" s="21"/>
      <c r="B41" s="22"/>
      <c r="C41" s="23"/>
      <c r="D41" s="23"/>
      <c r="E41" s="23"/>
      <c r="F41" s="24"/>
      <c r="G41" s="24"/>
      <c r="H41" s="24"/>
      <c r="I41" s="23"/>
      <c r="J41" s="24"/>
      <c r="K41" s="25"/>
      <c r="L41" s="26"/>
      <c r="M41" s="22"/>
      <c r="N41" s="22"/>
    </row>
    <row r="42" spans="1:14" x14ac:dyDescent="0.3">
      <c r="A42" s="21"/>
      <c r="B42" s="22"/>
      <c r="C42" s="23"/>
      <c r="D42" s="23"/>
      <c r="E42" s="23"/>
      <c r="F42" s="24"/>
      <c r="G42" s="24"/>
      <c r="H42" s="24"/>
      <c r="I42" s="23"/>
      <c r="J42" s="24"/>
      <c r="K42" s="25"/>
      <c r="L42" s="26"/>
      <c r="M42" s="22"/>
      <c r="N42" s="22"/>
    </row>
    <row r="43" spans="1:14" x14ac:dyDescent="0.3">
      <c r="A43" s="21"/>
      <c r="B43" s="22"/>
      <c r="C43" s="23"/>
      <c r="D43" s="23"/>
      <c r="E43" s="23"/>
      <c r="F43" s="24"/>
      <c r="G43" s="24"/>
      <c r="H43" s="24"/>
      <c r="I43" s="23"/>
      <c r="J43" s="24"/>
      <c r="K43" s="25"/>
      <c r="L43" s="26"/>
      <c r="M43" s="22"/>
      <c r="N43" s="22"/>
    </row>
    <row r="44" spans="1:14" x14ac:dyDescent="0.3">
      <c r="A44" s="21"/>
      <c r="B44" s="22"/>
      <c r="C44" s="23"/>
      <c r="D44" s="23"/>
      <c r="E44" s="23"/>
      <c r="F44" s="24"/>
      <c r="G44" s="24"/>
      <c r="H44" s="24"/>
      <c r="I44" s="23"/>
      <c r="J44" s="24"/>
      <c r="K44" s="25"/>
      <c r="L44" s="26"/>
      <c r="M44" s="22"/>
      <c r="N44" s="22"/>
    </row>
    <row r="45" spans="1:14" x14ac:dyDescent="0.3">
      <c r="A45" s="21"/>
      <c r="B45" s="22"/>
      <c r="C45" s="23"/>
      <c r="D45" s="23"/>
      <c r="E45" s="23"/>
      <c r="F45" s="24"/>
      <c r="G45" s="24"/>
      <c r="H45" s="24"/>
      <c r="I45" s="23"/>
      <c r="J45" s="24"/>
      <c r="K45" s="25"/>
      <c r="L45" s="26"/>
      <c r="M45" s="22"/>
      <c r="N45" s="22"/>
    </row>
    <row r="46" spans="1:14" x14ac:dyDescent="0.3">
      <c r="A46" s="21"/>
      <c r="B46" s="22"/>
      <c r="C46" s="23"/>
      <c r="D46" s="23"/>
      <c r="E46" s="23"/>
      <c r="F46" s="24"/>
      <c r="G46" s="24"/>
      <c r="H46" s="24"/>
      <c r="I46" s="23"/>
      <c r="J46" s="24"/>
      <c r="K46" s="25"/>
      <c r="L46" s="26"/>
      <c r="M46" s="22"/>
      <c r="N46" s="22"/>
    </row>
    <row r="47" spans="1:14" x14ac:dyDescent="0.3">
      <c r="A47" s="21"/>
      <c r="B47" s="22"/>
      <c r="C47" s="23"/>
      <c r="D47" s="23"/>
      <c r="E47" s="23"/>
      <c r="F47" s="24"/>
      <c r="G47" s="24"/>
      <c r="H47" s="24"/>
      <c r="I47" s="23"/>
      <c r="J47" s="24"/>
      <c r="K47" s="25"/>
      <c r="L47" s="26"/>
      <c r="M47" s="22"/>
      <c r="N47" s="22"/>
    </row>
    <row r="48" spans="1:14" x14ac:dyDescent="0.3">
      <c r="A48" s="21"/>
      <c r="B48" s="22"/>
      <c r="C48" s="23"/>
      <c r="D48" s="23"/>
      <c r="E48" s="23"/>
      <c r="F48" s="24"/>
      <c r="G48" s="24"/>
      <c r="H48" s="24"/>
      <c r="I48" s="23"/>
      <c r="J48" s="24"/>
      <c r="K48" s="25"/>
      <c r="L48" s="26"/>
      <c r="M48" s="22"/>
      <c r="N48" s="22"/>
    </row>
    <row r="49" spans="1:14" x14ac:dyDescent="0.3">
      <c r="A49" s="21"/>
      <c r="B49" s="22"/>
      <c r="C49" s="23"/>
      <c r="D49" s="23"/>
      <c r="E49" s="23"/>
      <c r="F49" s="24"/>
      <c r="G49" s="24"/>
      <c r="H49" s="24"/>
      <c r="I49" s="23"/>
      <c r="J49" s="24"/>
      <c r="K49" s="25"/>
      <c r="L49" s="26"/>
      <c r="M49" s="22"/>
      <c r="N49" s="22"/>
    </row>
    <row r="50" spans="1:14" x14ac:dyDescent="0.3">
      <c r="A50" s="21"/>
      <c r="B50" s="22"/>
      <c r="C50" s="23"/>
      <c r="D50" s="23"/>
      <c r="E50" s="23"/>
      <c r="F50" s="24"/>
      <c r="G50" s="24"/>
      <c r="H50" s="24"/>
      <c r="I50" s="23"/>
      <c r="J50" s="24"/>
      <c r="K50" s="25"/>
      <c r="L50" s="26"/>
      <c r="M50" s="22"/>
      <c r="N50" s="22"/>
    </row>
    <row r="51" spans="1:14" x14ac:dyDescent="0.3">
      <c r="A51" s="27"/>
      <c r="B51" s="28"/>
      <c r="C51" s="75"/>
      <c r="D51" s="75"/>
      <c r="E51" s="75"/>
      <c r="F51" s="77"/>
      <c r="G51" s="77"/>
      <c r="H51" s="77"/>
      <c r="I51" s="75"/>
      <c r="J51" s="77"/>
      <c r="K51" s="29"/>
      <c r="L51" s="80"/>
      <c r="M51" s="28"/>
      <c r="N51" s="28"/>
    </row>
    <row r="52" spans="1:14" ht="15" thickBot="1" x14ac:dyDescent="0.35"/>
    <row r="53" spans="1:14" s="81" customFormat="1" ht="18.600000000000001" thickBot="1" x14ac:dyDescent="0.4">
      <c r="A53" s="179" t="str">
        <f>IF(E53="T01D","LS Hoth Results",IF(E53="T02D","DS Hoth Results",IF(E53="T03D","LS Geonosis Results",IF(E53="T04D","LS Geonosis Results","Territory Battle Results"))))</f>
        <v>Territory Battle Results</v>
      </c>
      <c r="B53" s="180"/>
      <c r="C53" s="180"/>
      <c r="D53" s="180"/>
      <c r="E53" s="99"/>
    </row>
    <row r="54" spans="1:14" ht="16.2" thickTop="1" x14ac:dyDescent="0.3">
      <c r="A54" s="86" t="str">
        <f>IF(A53="LS Geonosis Results","Ki-Adi-Mundi Shards",IF(A53="DS Geonosis Results","Wat Tambor Shards",IF(A53="LS Hoth Results","ROLO Shards",IF(A53="DS Hoth Results","IPD Shards","Unit Exclusive Shards"))))</f>
        <v>Unit Exclusive Shards</v>
      </c>
      <c r="B54" s="87">
        <f>COUNTIF(N2:N51,"Y")</f>
        <v>0</v>
      </c>
      <c r="C54" s="88" t="s">
        <v>102</v>
      </c>
      <c r="D54" s="89"/>
      <c r="E54" s="82"/>
    </row>
    <row r="55" spans="1:14" x14ac:dyDescent="0.3">
      <c r="A55" s="90" t="s">
        <v>100</v>
      </c>
      <c r="B55" s="50" t="s">
        <v>84</v>
      </c>
      <c r="C55" s="51" t="s">
        <v>86</v>
      </c>
      <c r="D55" s="91" t="s">
        <v>101</v>
      </c>
      <c r="E55" s="82"/>
    </row>
    <row r="56" spans="1:14" x14ac:dyDescent="0.3">
      <c r="A56" s="92" t="s">
        <v>93</v>
      </c>
      <c r="B56" s="58">
        <f>SUM('Phase 1'!E2:E51)</f>
        <v>0</v>
      </c>
      <c r="C56" s="58">
        <f>SUM('Phase 1'!G2:G51)</f>
        <v>0</v>
      </c>
      <c r="D56" s="93">
        <f>SUM('Phase 1'!J2:J51)</f>
        <v>0</v>
      </c>
      <c r="E56" s="82"/>
    </row>
    <row r="57" spans="1:14" x14ac:dyDescent="0.3">
      <c r="A57" s="94" t="s">
        <v>94</v>
      </c>
      <c r="B57" s="59">
        <f>SUM('Phase 2'!E2:E51)</f>
        <v>0</v>
      </c>
      <c r="C57" s="59">
        <f>SUM('Phase 2'!G2:G51)</f>
        <v>0</v>
      </c>
      <c r="D57" s="95">
        <f>SUM('Phase 2'!J2:J51)</f>
        <v>0</v>
      </c>
      <c r="E57" s="82"/>
    </row>
    <row r="58" spans="1:14" x14ac:dyDescent="0.3">
      <c r="A58" s="92" t="s">
        <v>95</v>
      </c>
      <c r="B58" s="58">
        <f>SUM('Phase 3'!E2:E51)</f>
        <v>0</v>
      </c>
      <c r="C58" s="58">
        <f>SUM('Phase 3'!G2:G51)</f>
        <v>0</v>
      </c>
      <c r="D58" s="93">
        <f>SUM('Phase 3'!J2:J51)</f>
        <v>0</v>
      </c>
      <c r="E58" s="82"/>
    </row>
    <row r="59" spans="1:14" x14ac:dyDescent="0.3">
      <c r="A59" s="94" t="s">
        <v>96</v>
      </c>
      <c r="B59" s="59">
        <f>SUM('Phase 4'!E2:E51)</f>
        <v>0</v>
      </c>
      <c r="C59" s="59">
        <f>SUM('Phase 4'!G2:G51)</f>
        <v>0</v>
      </c>
      <c r="D59" s="95">
        <f>SUM('Phase 4'!J2:J51)</f>
        <v>0</v>
      </c>
      <c r="E59" s="82"/>
    </row>
    <row r="60" spans="1:14" x14ac:dyDescent="0.3">
      <c r="A60" s="92"/>
      <c r="B60" s="58"/>
      <c r="C60" s="58"/>
      <c r="D60" s="93"/>
      <c r="E60" s="82"/>
    </row>
    <row r="61" spans="1:14" ht="15" thickBot="1" x14ac:dyDescent="0.35">
      <c r="A61" s="96"/>
      <c r="B61" s="97"/>
      <c r="C61" s="97"/>
      <c r="D61" s="98"/>
      <c r="E61" s="82"/>
    </row>
    <row r="62" spans="1:14" ht="15.6" thickTop="1" thickBot="1" x14ac:dyDescent="0.35">
      <c r="A62" s="84"/>
      <c r="B62" s="84"/>
      <c r="C62" s="85"/>
      <c r="D62" s="85"/>
      <c r="E62" s="83"/>
    </row>
  </sheetData>
  <sortState ref="A3:N51">
    <sortCondition ref="A2:A51"/>
  </sortState>
  <mergeCells count="1">
    <mergeCell ref="A53:D53"/>
  </mergeCells>
  <conditionalFormatting sqref="K2:K51">
    <cfRule type="cellIs" dxfId="165" priority="2" operator="equal">
      <formula>0</formula>
    </cfRule>
    <cfRule type="cellIs" dxfId="164" priority="5" operator="lessThan">
      <formula>J2</formula>
    </cfRule>
    <cfRule type="cellIs" dxfId="163" priority="6" operator="equal">
      <formula>0</formula>
    </cfRule>
  </conditionalFormatting>
  <conditionalFormatting sqref="L2:L51">
    <cfRule type="cellIs" dxfId="162" priority="4" operator="greaterThan">
      <formula>0</formula>
    </cfRule>
  </conditionalFormatting>
  <conditionalFormatting sqref="J2:J51">
    <cfRule type="cellIs" dxfId="161" priority="3" operator="equal">
      <formula>0</formula>
    </cfRule>
  </conditionalFormatting>
  <conditionalFormatting sqref="A60:D61">
    <cfRule type="containsBlanks" dxfId="160" priority="1">
      <formula>LEN(TRIM(A60))=0</formula>
    </cfRule>
  </conditionalFormatting>
  <pageMargins left="0.25" right="0.25" top="0.75" bottom="0.75" header="0.3" footer="0.3"/>
  <pageSetup scale="82" orientation="portrait" horizontalDpi="300" verticalDpi="30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O51"/>
  <sheetViews>
    <sheetView zoomScaleNormal="100" zoomScaleSheetLayoutView="8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7" width="14"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s="31" customFormat="1"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69"/>
      <c r="O2" s="70"/>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60"/>
      <c r="B42" s="61"/>
      <c r="C42" s="61"/>
      <c r="D42" s="61"/>
      <c r="E42" s="62"/>
      <c r="F42" s="62"/>
      <c r="G42" s="62"/>
      <c r="H42" s="62"/>
      <c r="I42" s="62"/>
      <c r="J42" s="62"/>
      <c r="K42" s="62"/>
      <c r="L42" s="63"/>
      <c r="M42" s="64"/>
      <c r="N42" s="64"/>
      <c r="O42" s="65"/>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125" priority="1" operator="equal">
      <formula>0</formula>
    </cfRule>
  </conditionalFormatting>
  <pageMargins left="0.25" right="0.25" top="0.75" bottom="0.75" header="0.3" footer="0.3"/>
  <pageSetup scale="51"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1"/>
  <sheetViews>
    <sheetView zoomScaleNormal="100" workbookViewId="0">
      <selection activeCell="C18" sqref="C18"/>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69"/>
      <c r="O2" s="70"/>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104" priority="1" operator="equal">
      <formula>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69"/>
      <c r="O2" s="70"/>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83" priority="1" operator="equal">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69"/>
      <c r="O2" s="70"/>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52"/>
      <c r="B51" s="53"/>
      <c r="C51" s="53"/>
      <c r="D51" s="53"/>
      <c r="E51" s="54"/>
      <c r="F51" s="54"/>
      <c r="G51" s="54"/>
      <c r="H51" s="54"/>
      <c r="I51" s="54"/>
      <c r="J51" s="54"/>
      <c r="K51" s="54"/>
      <c r="L51" s="55"/>
      <c r="M51" s="56"/>
      <c r="N51" s="56"/>
      <c r="O51" s="57"/>
    </row>
  </sheetData>
  <sortState ref="A3:O51">
    <sortCondition ref="A2:A51"/>
  </sortState>
  <conditionalFormatting sqref="J2:J51">
    <cfRule type="cellIs" dxfId="62" priority="1" operator="equal">
      <formula>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1"/>
  <sheetViews>
    <sheetView zoomScaleNormal="100" workbookViewId="0">
      <selection activeCell="C17" sqref="C17"/>
    </sheetView>
  </sheetViews>
  <sheetFormatPr defaultRowHeight="14.4" x14ac:dyDescent="0.3"/>
  <cols>
    <col min="1" max="1" width="18.77734375"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33"/>
      <c r="O2" s="3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49"/>
    </row>
    <row r="46" spans="1:15" x14ac:dyDescent="0.3">
      <c r="A46" s="21"/>
      <c r="B46" s="22"/>
      <c r="C46" s="22"/>
      <c r="D46" s="22"/>
      <c r="E46" s="25"/>
      <c r="F46" s="25"/>
      <c r="G46" s="25"/>
      <c r="H46" s="25"/>
      <c r="I46" s="25"/>
      <c r="J46" s="25"/>
      <c r="K46" s="25"/>
      <c r="L46" s="32"/>
      <c r="M46" s="33"/>
      <c r="N46" s="33"/>
      <c r="O46" s="49"/>
    </row>
    <row r="47" spans="1:15" x14ac:dyDescent="0.3">
      <c r="A47" s="21"/>
      <c r="B47" s="22"/>
      <c r="C47" s="22"/>
      <c r="D47" s="22"/>
      <c r="E47" s="25"/>
      <c r="F47" s="25"/>
      <c r="G47" s="25"/>
      <c r="H47" s="25"/>
      <c r="I47" s="25"/>
      <c r="J47" s="25"/>
      <c r="K47" s="25"/>
      <c r="L47" s="32"/>
      <c r="M47" s="33"/>
      <c r="N47" s="33"/>
      <c r="O47" s="49"/>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41" priority="1"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51"/>
  <sheetViews>
    <sheetView zoomScaleNormal="100" workbookViewId="0">
      <selection activeCell="E13" sqref="E13"/>
    </sheetView>
  </sheetViews>
  <sheetFormatPr defaultRowHeight="14.4" x14ac:dyDescent="0.3"/>
  <cols>
    <col min="1" max="1" width="18.77734375" bestFit="1"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ht="28.8" x14ac:dyDescent="0.3">
      <c r="A1" s="71" t="s">
        <v>68</v>
      </c>
      <c r="B1" s="72" t="s">
        <v>69</v>
      </c>
      <c r="C1" s="72" t="s">
        <v>82</v>
      </c>
      <c r="D1" s="72" t="s">
        <v>83</v>
      </c>
      <c r="E1" s="72" t="s">
        <v>84</v>
      </c>
      <c r="F1" s="72" t="s">
        <v>85</v>
      </c>
      <c r="G1" s="72" t="s">
        <v>86</v>
      </c>
      <c r="H1" s="72" t="s">
        <v>87</v>
      </c>
      <c r="I1" s="72" t="s">
        <v>75</v>
      </c>
      <c r="J1" s="72" t="s">
        <v>88</v>
      </c>
      <c r="K1" s="72" t="s">
        <v>89</v>
      </c>
      <c r="L1" s="73" t="s">
        <v>90</v>
      </c>
      <c r="M1" s="73" t="s">
        <v>91</v>
      </c>
      <c r="N1" s="73" t="s">
        <v>74</v>
      </c>
      <c r="O1" s="72" t="s">
        <v>92</v>
      </c>
    </row>
    <row r="2" spans="1:15" x14ac:dyDescent="0.3">
      <c r="A2" s="21"/>
      <c r="B2" s="22"/>
      <c r="C2" s="22"/>
      <c r="D2" s="22"/>
      <c r="E2" s="25"/>
      <c r="F2" s="25"/>
      <c r="G2" s="25"/>
      <c r="H2" s="25"/>
      <c r="I2" s="25"/>
      <c r="J2" s="25"/>
      <c r="K2" s="25"/>
      <c r="L2" s="32"/>
      <c r="M2" s="33"/>
      <c r="N2" s="69"/>
      <c r="O2" s="70"/>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20" priority="1" operator="equal">
      <formula>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Settings</vt:lpstr>
      <vt:lpstr>Overview</vt:lpstr>
      <vt:lpstr>Phase 1</vt:lpstr>
      <vt:lpstr>Phase 2</vt:lpstr>
      <vt:lpstr>Phase 3</vt:lpstr>
      <vt:lpstr>Phase 4</vt:lpstr>
      <vt:lpstr>Phase 5</vt:lpstr>
      <vt:lpstr>Phase 6</vt:lpstr>
      <vt:lpstr>apiLogin</vt:lpstr>
      <vt:lpstr>apiPassword</vt:lpstr>
      <vt:lpstr>AutoClose</vt:lpstr>
      <vt:lpstr>AutoExport</vt:lpstr>
      <vt:lpstr>Csv1Name</vt:lpstr>
      <vt:lpstr>Csv2Name</vt:lpstr>
      <vt:lpstr>Csv3Name</vt:lpstr>
      <vt:lpstr>Csv4Name</vt:lpstr>
      <vt:lpstr>Csv5Name</vt:lpstr>
      <vt:lpstr>Csv6Name</vt:lpstr>
      <vt:lpstr>DeleteImport</vt:lpstr>
      <vt:lpstr>ImportName</vt:lpstr>
      <vt:lpstr>LoadMultiCSV</vt:lpstr>
      <vt:lpstr>MoveImport</vt:lpstr>
      <vt:lpstr>MoveImportFolder</vt:lpstr>
      <vt:lpstr>TBFileNames</vt:lpstr>
      <vt:lpstr>TBFolders</vt:lpstr>
      <vt:lpstr>TBIDs</vt:lpstr>
      <vt:lpstr>TBLoaded</vt:lpstr>
      <vt:lpstr>useAPI</vt:lpstr>
      <vt:lpstr>UseForm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Kidori; Tim Hall</dc:creator>
  <cp:lastModifiedBy>Kidori</cp:lastModifiedBy>
  <dcterms:created xsi:type="dcterms:W3CDTF">2011-08-25T14:29:57Z</dcterms:created>
  <dcterms:modified xsi:type="dcterms:W3CDTF">2021-01-30T03:44:39Z</dcterms:modified>
</cp:coreProperties>
</file>